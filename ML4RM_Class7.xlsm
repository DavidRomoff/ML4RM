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ECCC1712-B655-6B40-A52D-46BE8C6BE2EE}" xr6:coauthVersionLast="47" xr6:coauthVersionMax="47" xr10:uidLastSave="{00000000-0000-0000-0000-000000000000}"/>
  <bookViews>
    <workbookView xWindow="0" yWindow="0" windowWidth="28800" windowHeight="16620" xr2:uid="{2528C2F6-2D91-5941-BA0A-8E362C5A735B}"/>
  </bookViews>
  <sheets>
    <sheet name="Today" sheetId="94" r:id="rId1"/>
    <sheet name="Themes" sheetId="13" r:id="rId2"/>
    <sheet name="Diagnostics" sheetId="81" r:id="rId3"/>
    <sheet name="Sensitivity" sheetId="82" state="veryHidden" r:id="rId4"/>
    <sheet name="Specificity" sheetId="32" state="veryHidden" r:id="rId5"/>
    <sheet name="PPF_0" sheetId="86" state="veryHidden" r:id="rId6"/>
    <sheet name="PPF_1" sheetId="83" state="veryHidden" r:id="rId7"/>
    <sheet name="ConfusionMatrix" sheetId="133" state="veryHidden" r:id="rId8"/>
    <sheet name="ROC_Curve" sheetId="85" state="veryHidden" r:id="rId9"/>
    <sheet name="HarmonicMean" sheetId="84" state="veryHidden" r:id="rId10"/>
    <sheet name="Precision" sheetId="135" state="veryHidden" r:id="rId11"/>
    <sheet name="F1Score" sheetId="138" state="veryHidden" r:id="rId12"/>
    <sheet name="Bernoulli" sheetId="139" state="veryHidden" r:id="rId13"/>
    <sheet name="LogisticRegression" sheetId="87" r:id="rId14"/>
    <sheet name="Concept" sheetId="88" state="veryHidden" r:id="rId15"/>
    <sheet name="Iris_Data" sheetId="90" state="veryHidden" r:id="rId16"/>
    <sheet name="Iris_Fit" sheetId="91" state="veryHidden" r:id="rId17"/>
    <sheet name="Iris_Forecast_OOS" sheetId="92" state="veryHidden" r:id="rId18"/>
    <sheet name="R_Code" sheetId="93" state="veryHidden" r:id="rId19"/>
    <sheet name="MultiClass" sheetId="112" r:id="rId20"/>
    <sheet name="Each_vs_Each" sheetId="113" state="veryHidden" r:id="rId21"/>
    <sheet name="Each_vs_All" sheetId="114" state="veryHidden" r:id="rId22"/>
    <sheet name="ClusterAnalysis" sheetId="119" r:id="rId23"/>
    <sheet name="Cluster" sheetId="122" state="veryHidden" r:id="rId24"/>
    <sheet name="Excel_Demo" sheetId="123" state="veryHidden" r:id="rId25"/>
    <sheet name="R_Demo" sheetId="124" state="veryHidden" r:id="rId26"/>
    <sheet name="PieceWiseModels" sheetId="157" r:id="rId27"/>
    <sheet name="Data" sheetId="140" state="veryHidden" r:id="rId28"/>
    <sheet name="Fit_O3" sheetId="141" state="veryHidden" r:id="rId29"/>
    <sheet name="Fit_3Piece_O0" sheetId="142" state="veryHidden" r:id="rId30"/>
    <sheet name="Fit_3Piece_O1" sheetId="143" state="veryHidden" r:id="rId31"/>
    <sheet name="Fit_3Piece_O1_v2" sheetId="144" state="veryHidden" r:id="rId32"/>
    <sheet name="Fit_6Piece_O1" sheetId="145" state="veryHidden" r:id="rId33"/>
    <sheet name="Fit_2Piece_O2" sheetId="146" state="veryHidden" r:id="rId34"/>
    <sheet name="Splines" sheetId="156" r:id="rId35"/>
    <sheet name="NoSpline1" sheetId="147" state="veryHidden" r:id="rId36"/>
    <sheet name="NoSpline2" sheetId="148" state="veryHidden" r:id="rId37"/>
    <sheet name="NoSpline3" sheetId="149" state="veryHidden" r:id="rId38"/>
    <sheet name="CubicSpline1" sheetId="150" state="veryHidden" r:id="rId39"/>
    <sheet name="CubicSpline2" sheetId="151" state="veryHidden" r:id="rId40"/>
    <sheet name="CubicSpline3" sheetId="152" state="veryHidden" r:id="rId41"/>
    <sheet name="CubicSpline_YC" sheetId="153" state="veryHidden" r:id="rId42"/>
    <sheet name="CubicSpline_YC_Optim" sheetId="154" state="veryHidden" r:id="rId43"/>
    <sheet name="CubicSpline_YC_Optim_Penalized" sheetId="155" state="veryHidden" r:id="rId44"/>
    <sheet name="R_1" sheetId="158" state="veryHidden" r:id="rId45"/>
    <sheet name="R_2" sheetId="160" state="veryHidden" r:id="rId46"/>
    <sheet name="GAMS" sheetId="159" r:id="rId47"/>
    <sheet name="DiamondsExample1" sheetId="161" state="veryHidden" r:id="rId48"/>
    <sheet name="DiamondsExample2" sheetId="162" state="veryHidden" r:id="rId49"/>
    <sheet name="DiamondsExample3" sheetId="163" state="veryHidden" r:id="rId50"/>
    <sheet name="DiamondsExample4" sheetId="166" state="veryHidden" r:id="rId51"/>
    <sheet name="PreWork4NextClass" sheetId="27" r:id="rId52"/>
    <sheet name="InClassProjects" sheetId="26" r:id="rId53"/>
    <sheet name="qDiamonds" sheetId="164" r:id="rId54"/>
    <sheet name="qReading" sheetId="165" r:id="rId55"/>
  </sheets>
  <externalReferences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definedNames>
    <definedName name="_c1" localSheetId="41">CubicSpline_YC!$T$30</definedName>
    <definedName name="_c1" localSheetId="42">CubicSpline_YC_Optim!$T$30</definedName>
    <definedName name="_c1" localSheetId="43">CubicSpline_YC_Optim_Penalized!$T$30</definedName>
    <definedName name="_c1">CubicSpline3!$T$27</definedName>
    <definedName name="_c2" localSheetId="41">CubicSpline_YC!$T$34</definedName>
    <definedName name="_c2" localSheetId="42">CubicSpline_YC_Optim!$T$34</definedName>
    <definedName name="_c2" localSheetId="43">CubicSpline_YC_Optim_Penalized!$T$34</definedName>
    <definedName name="_c2">CubicSpline3!$T$31</definedName>
    <definedName name="_c3" localSheetId="41">CubicSpline_YC!$T$38</definedName>
    <definedName name="_c3" localSheetId="42">CubicSpline_YC_Optim!$T$38</definedName>
    <definedName name="_c3" localSheetId="43">CubicSpline_YC_Optim_Penalized!$T$38</definedName>
    <definedName name="_c3">CubicSpline3!$T$35</definedName>
    <definedName name="_r2" localSheetId="2">#REF!</definedName>
    <definedName name="_r2" localSheetId="3">#REF!</definedName>
    <definedName name="_r2">#REF!</definedName>
    <definedName name="_R2_orig">[1]RSquareAdj!$C$6</definedName>
    <definedName name="A">[2]NextClass1_MeanVar!#REF!</definedName>
    <definedName name="a_0" localSheetId="41">CubicSpline_YC!#REF!</definedName>
    <definedName name="a_0" localSheetId="42">CubicSpline_YC_Optim!#REF!</definedName>
    <definedName name="a_0" localSheetId="43">CubicSpline_YC_Optim_Penalized!#REF!</definedName>
    <definedName name="a_0">#REF!</definedName>
    <definedName name="a_1" localSheetId="41">CubicSpline_YC!$AN$28</definedName>
    <definedName name="a_1" localSheetId="42">CubicSpline_YC_Optim!$AN$28</definedName>
    <definedName name="a_1" localSheetId="43">CubicSpline_YC_Optim_Penalized!$AN$28</definedName>
    <definedName name="a_1">#REF!</definedName>
    <definedName name="a_10" localSheetId="41">CubicSpline_YC!$AN$52</definedName>
    <definedName name="a_10" localSheetId="42">CubicSpline_YC_Optim!$AN$52</definedName>
    <definedName name="a_10" localSheetId="43">CubicSpline_YC_Optim_Penalized!$AN$52</definedName>
    <definedName name="a_10">#REF!</definedName>
    <definedName name="a_2" localSheetId="41">CubicSpline_YC!$AN$32</definedName>
    <definedName name="a_2" localSheetId="42">CubicSpline_YC_Optim!$AN$32</definedName>
    <definedName name="a_2" localSheetId="43">CubicSpline_YC_Optim_Penalized!$AN$32</definedName>
    <definedName name="a_2">#REF!</definedName>
    <definedName name="a_3" localSheetId="41">CubicSpline_YC!$AN$36</definedName>
    <definedName name="a_3" localSheetId="42">CubicSpline_YC_Optim!$AN$36</definedName>
    <definedName name="a_3" localSheetId="43">CubicSpline_YC_Optim_Penalized!$AN$36</definedName>
    <definedName name="a_3">#REF!</definedName>
    <definedName name="a_30" localSheetId="41">CubicSpline_YC!$AN$56</definedName>
    <definedName name="a_30" localSheetId="42">CubicSpline_YC_Optim!$AN$56</definedName>
    <definedName name="a_30" localSheetId="43">CubicSpline_YC_Optim_Penalized!$AN$56</definedName>
    <definedName name="a_30">#REF!</definedName>
    <definedName name="a_4" localSheetId="41">CubicSpline_YC!$AN$40</definedName>
    <definedName name="a_4" localSheetId="42">CubicSpline_YC_Optim!$AN$40</definedName>
    <definedName name="a_4" localSheetId="43">CubicSpline_YC_Optim_Penalized!$AN$40</definedName>
    <definedName name="a_4">#REF!</definedName>
    <definedName name="a_5" localSheetId="41">CubicSpline_YC!$AN$44</definedName>
    <definedName name="a_5" localSheetId="42">CubicSpline_YC_Optim!$AN$44</definedName>
    <definedName name="a_5" localSheetId="43">CubicSpline_YC_Optim_Penalized!$AN$44</definedName>
    <definedName name="a_5">#REF!</definedName>
    <definedName name="a_7" localSheetId="41">CubicSpline_YC!$AN$48</definedName>
    <definedName name="a_7" localSheetId="42">CubicSpline_YC_Optim!$AN$48</definedName>
    <definedName name="a_7" localSheetId="43">CubicSpline_YC_Optim_Penalized!$AN$48</definedName>
    <definedName name="a_7">#REF!</definedName>
    <definedName name="A_x">[3]ProductRule!$C$14</definedName>
    <definedName name="A_x_h">[3]ProductRule!$C$16</definedName>
    <definedName name="a1_" localSheetId="41">CubicSpline_YC!$T$28</definedName>
    <definedName name="a1_" localSheetId="42">CubicSpline_YC_Optim!$T$28</definedName>
    <definedName name="a1_" localSheetId="43">CubicSpline_YC_Optim_Penalized!$T$28</definedName>
    <definedName name="a1_">CubicSpline3!$T$25</definedName>
    <definedName name="a2_" localSheetId="41">CubicSpline_YC!$T$32</definedName>
    <definedName name="a2_" localSheetId="42">CubicSpline_YC_Optim!$T$32</definedName>
    <definedName name="a2_" localSheetId="43">CubicSpline_YC_Optim_Penalized!$T$32</definedName>
    <definedName name="a2_">CubicSpline3!$T$29</definedName>
    <definedName name="a3_" localSheetId="41">CubicSpline_YC!$T$36</definedName>
    <definedName name="a3_" localSheetId="42">CubicSpline_YC_Optim!$T$36</definedName>
    <definedName name="a3_" localSheetId="43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41">CubicSpline_YC!#REF!</definedName>
    <definedName name="b_0" localSheetId="42">CubicSpline_YC_Optim!#REF!</definedName>
    <definedName name="b_0" localSheetId="43">CubicSpline_YC_Optim_Penalized!#REF!</definedName>
    <definedName name="b_0">#REF!</definedName>
    <definedName name="b_1" localSheetId="41">CubicSpline_YC!$AN$29</definedName>
    <definedName name="b_1" localSheetId="42">CubicSpline_YC_Optim!$AN$29</definedName>
    <definedName name="b_1" localSheetId="43">CubicSpline_YC_Optim_Penalized!$AN$29</definedName>
    <definedName name="b_1">#REF!</definedName>
    <definedName name="b_10" localSheetId="41">CubicSpline_YC!$AN$53</definedName>
    <definedName name="b_10" localSheetId="42">CubicSpline_YC_Optim!$AN$53</definedName>
    <definedName name="b_10" localSheetId="43">CubicSpline_YC_Optim_Penalized!$AN$53</definedName>
    <definedName name="b_10">#REF!</definedName>
    <definedName name="b_2" localSheetId="41">CubicSpline_YC!$AN$33</definedName>
    <definedName name="b_2" localSheetId="42">CubicSpline_YC_Optim!$AN$33</definedName>
    <definedName name="b_2" localSheetId="43">CubicSpline_YC_Optim_Penalized!$AN$33</definedName>
    <definedName name="b_2">#REF!</definedName>
    <definedName name="b_3" localSheetId="41">CubicSpline_YC!$AN$37</definedName>
    <definedName name="b_3" localSheetId="42">CubicSpline_YC_Optim!$AN$37</definedName>
    <definedName name="b_3" localSheetId="43">CubicSpline_YC_Optim_Penalized!$AN$37</definedName>
    <definedName name="b_3">#REF!</definedName>
    <definedName name="b_30" localSheetId="41">CubicSpline_YC!$AN$57</definedName>
    <definedName name="b_30" localSheetId="42">CubicSpline_YC_Optim!$AN$57</definedName>
    <definedName name="b_30" localSheetId="43">CubicSpline_YC_Optim_Penalized!$AN$57</definedName>
    <definedName name="b_30">#REF!</definedName>
    <definedName name="b_4" localSheetId="41">CubicSpline_YC!$AN$41</definedName>
    <definedName name="b_4" localSheetId="42">CubicSpline_YC_Optim!$AN$41</definedName>
    <definedName name="b_4" localSheetId="43">CubicSpline_YC_Optim_Penalized!$AN$41</definedName>
    <definedName name="b_4">#REF!</definedName>
    <definedName name="b_5" localSheetId="41">CubicSpline_YC!$AN$45</definedName>
    <definedName name="b_5" localSheetId="42">CubicSpline_YC_Optim!$AN$45</definedName>
    <definedName name="b_5" localSheetId="43">CubicSpline_YC_Optim_Penalized!$AN$45</definedName>
    <definedName name="b_5">#REF!</definedName>
    <definedName name="b_7" localSheetId="41">CubicSpline_YC!$AN$49</definedName>
    <definedName name="b_7" localSheetId="42">CubicSpline_YC_Optim!$AN$49</definedName>
    <definedName name="b_7" localSheetId="43">CubicSpline_YC_Optim_Penalized!$AN$49</definedName>
    <definedName name="b_7">#REF!</definedName>
    <definedName name="b0">#REF!</definedName>
    <definedName name="b1_" localSheetId="41">CubicSpline_YC!$T$29</definedName>
    <definedName name="b1_" localSheetId="42">CubicSpline_YC_Optim!$T$29</definedName>
    <definedName name="b1_" localSheetId="43">CubicSpline_YC_Optim_Penalized!$T$29</definedName>
    <definedName name="b1_">CubicSpline3!$T$26</definedName>
    <definedName name="b2_" localSheetId="41">CubicSpline_YC!$T$33</definedName>
    <definedName name="b2_" localSheetId="42">CubicSpline_YC_Optim!$T$33</definedName>
    <definedName name="b2_" localSheetId="43">CubicSpline_YC_Optim_Penalized!$T$33</definedName>
    <definedName name="b2_">CubicSpline3!$T$30</definedName>
    <definedName name="b3_" localSheetId="41">CubicSpline_YC!$T$37</definedName>
    <definedName name="b3_" localSheetId="42">CubicSpline_YC_Optim!$T$37</definedName>
    <definedName name="b3_" localSheetId="43">CubicSpline_YC_Optim_Penalized!$T$37</definedName>
    <definedName name="b3_">CubicSpline3!$T$34</definedName>
    <definedName name="beta" localSheetId="2">#REF!</definedName>
    <definedName name="beta" localSheetId="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41">CubicSpline_YC!$AN$60</definedName>
    <definedName name="c_0" localSheetId="42">CubicSpline_YC_Optim!$AN$60</definedName>
    <definedName name="c_0" localSheetId="43">CubicSpline_YC_Optim_Penalized!$AN$60</definedName>
    <definedName name="c_0">#REF!</definedName>
    <definedName name="c_1" localSheetId="41">CubicSpline_YC!$AN$30</definedName>
    <definedName name="c_1" localSheetId="42">CubicSpline_YC_Optim!$AN$30</definedName>
    <definedName name="c_1" localSheetId="43">CubicSpline_YC_Optim_Penalized!$AN$30</definedName>
    <definedName name="c_1">#REF!</definedName>
    <definedName name="c_10" localSheetId="41">CubicSpline_YC!$AN$54</definedName>
    <definedName name="c_10" localSheetId="42">CubicSpline_YC_Optim!$AN$54</definedName>
    <definedName name="c_10" localSheetId="43">CubicSpline_YC_Optim_Penalized!$AN$54</definedName>
    <definedName name="c_10">#REF!</definedName>
    <definedName name="c_2" localSheetId="41">CubicSpline_YC!$AN$34</definedName>
    <definedName name="c_2" localSheetId="42">CubicSpline_YC_Optim!$AN$34</definedName>
    <definedName name="c_2" localSheetId="43">CubicSpline_YC_Optim_Penalized!$AN$34</definedName>
    <definedName name="c_2">#REF!</definedName>
    <definedName name="c_3" localSheetId="41">CubicSpline_YC!$AN$38</definedName>
    <definedName name="c_3" localSheetId="42">CubicSpline_YC_Optim!$AN$38</definedName>
    <definedName name="c_3" localSheetId="43">CubicSpline_YC_Optim_Penalized!$AN$38</definedName>
    <definedName name="c_3">#REF!</definedName>
    <definedName name="c_30" localSheetId="41">CubicSpline_YC!$AN$58</definedName>
    <definedName name="c_30" localSheetId="42">CubicSpline_YC_Optim!$AN$58</definedName>
    <definedName name="c_30" localSheetId="43">CubicSpline_YC_Optim_Penalized!$AN$58</definedName>
    <definedName name="c_30">#REF!</definedName>
    <definedName name="c_4" localSheetId="41">CubicSpline_YC!$AN$42</definedName>
    <definedName name="c_4" localSheetId="42">CubicSpline_YC_Optim!$AN$42</definedName>
    <definedName name="c_4" localSheetId="43">CubicSpline_YC_Optim_Penalized!$AN$42</definedName>
    <definedName name="c_4">#REF!</definedName>
    <definedName name="c_5" localSheetId="41">CubicSpline_YC!$AN$46</definedName>
    <definedName name="c_5" localSheetId="42">CubicSpline_YC_Optim!$AN$46</definedName>
    <definedName name="c_5" localSheetId="43">CubicSpline_YC_Optim_Penalized!$AN$46</definedName>
    <definedName name="c_5">#REF!</definedName>
    <definedName name="c_7" localSheetId="41">CubicSpline_YC!$AN$50</definedName>
    <definedName name="c_7" localSheetId="42">CubicSpline_YC_Optim!$AN$50</definedName>
    <definedName name="c_7" localSheetId="43">CubicSpline_YC_Optim_Penalized!$AN$50</definedName>
    <definedName name="c_7">#REF!</definedName>
    <definedName name="Cake">#REF!</definedName>
    <definedName name="Cd" localSheetId="2">[8]Options2!#REF!</definedName>
    <definedName name="Cd" localSheetId="3">[8]Options2!#REF!</definedName>
    <definedName name="Cd">[8]Options2!#REF!</definedName>
    <definedName name="Change" localSheetId="2">[5]VaR0!#REF!</definedName>
    <definedName name="Change" localSheetId="3">[5]VaR0!#REF!</definedName>
    <definedName name="Change">[5]VaR0!#REF!</definedName>
    <definedName name="change1" localSheetId="2">#REF!</definedName>
    <definedName name="change1" localSheetId="3">#REF!</definedName>
    <definedName name="change1">#REF!</definedName>
    <definedName name="change2" localSheetId="2">#REF!</definedName>
    <definedName name="change2" localSheetId="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41">CubicSpline_YC!$AN$61</definedName>
    <definedName name="d_0" localSheetId="42">CubicSpline_YC_Optim!$AN$61</definedName>
    <definedName name="d_0" localSheetId="43">CubicSpline_YC_Optim_Penalized!$AN$61</definedName>
    <definedName name="d_0">#REF!</definedName>
    <definedName name="d_1" localSheetId="41">CubicSpline_YC!$AN$31</definedName>
    <definedName name="d_1" localSheetId="42">CubicSpline_YC_Optim!$AN$31</definedName>
    <definedName name="d_1" localSheetId="43">CubicSpline_YC_Optim_Penalized!$AN$31</definedName>
    <definedName name="d_1">#REF!</definedName>
    <definedName name="d_10" localSheetId="41">CubicSpline_YC!$AN$55</definedName>
    <definedName name="d_10" localSheetId="42">CubicSpline_YC_Optim!$AN$55</definedName>
    <definedName name="d_10" localSheetId="43">CubicSpline_YC_Optim_Penalized!$AN$55</definedName>
    <definedName name="d_10">#REF!</definedName>
    <definedName name="d_2" localSheetId="41">CubicSpline_YC!$AN$35</definedName>
    <definedName name="d_2" localSheetId="42">CubicSpline_YC_Optim!$AN$35</definedName>
    <definedName name="d_2" localSheetId="43">CubicSpline_YC_Optim_Penalized!$AN$35</definedName>
    <definedName name="d_2">#REF!</definedName>
    <definedName name="d_3" localSheetId="41">CubicSpline_YC!$AN$39</definedName>
    <definedName name="d_3" localSheetId="42">CubicSpline_YC_Optim!$AN$39</definedName>
    <definedName name="d_3" localSheetId="43">CubicSpline_YC_Optim_Penalized!$AN$39</definedName>
    <definedName name="d_3">#REF!</definedName>
    <definedName name="d_30" localSheetId="41">CubicSpline_YC!$AN$59</definedName>
    <definedName name="d_30" localSheetId="42">CubicSpline_YC_Optim!$AN$59</definedName>
    <definedName name="d_30" localSheetId="43">CubicSpline_YC_Optim_Penalized!$AN$59</definedName>
    <definedName name="d_30">#REF!</definedName>
    <definedName name="d_4" localSheetId="41">CubicSpline_YC!$AN$43</definedName>
    <definedName name="d_4" localSheetId="42">CubicSpline_YC_Optim!$AN$43</definedName>
    <definedName name="d_4" localSheetId="43">CubicSpline_YC_Optim_Penalized!$AN$43</definedName>
    <definedName name="d_4">#REF!</definedName>
    <definedName name="d_5" localSheetId="41">CubicSpline_YC!$AN$47</definedName>
    <definedName name="d_5" localSheetId="42">CubicSpline_YC_Optim!$AN$47</definedName>
    <definedName name="d_5" localSheetId="43">CubicSpline_YC_Optim_Penalized!$AN$47</definedName>
    <definedName name="d_5">#REF!</definedName>
    <definedName name="d_7" localSheetId="41">CubicSpline_YC!$AN$51</definedName>
    <definedName name="d_7" localSheetId="42">CubicSpline_YC_Optim!$AN$51</definedName>
    <definedName name="d_7" localSheetId="43">CubicSpline_YC_Optim_Penalized!$AN$51</definedName>
    <definedName name="d_7">#REF!</definedName>
    <definedName name="d1_" localSheetId="41">CubicSpline_YC!$T$31</definedName>
    <definedName name="d1_" localSheetId="42">CubicSpline_YC_Optim!$T$31</definedName>
    <definedName name="d1_" localSheetId="43">CubicSpline_YC_Optim_Penalized!$T$31</definedName>
    <definedName name="d1_">CubicSpline3!$T$28</definedName>
    <definedName name="d2_" localSheetId="41">CubicSpline_YC!$T$35</definedName>
    <definedName name="d2_" localSheetId="42">CubicSpline_YC_Optim!$T$35</definedName>
    <definedName name="d2_" localSheetId="43">CubicSpline_YC_Optim_Penalized!$T$35</definedName>
    <definedName name="d2_">CubicSpline3!$T$32</definedName>
    <definedName name="d3_" localSheetId="41">CubicSpline_YC!$T$39</definedName>
    <definedName name="d3_" localSheetId="42">CubicSpline_YC_Optim!$T$39</definedName>
    <definedName name="d3_" localSheetId="43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41">CubicSpline_YC!$F$65:$AK$96</definedName>
    <definedName name="dmat" localSheetId="42">CubicSpline_YC_Optim!$F$65:$AK$96</definedName>
    <definedName name="dmat" localSheetId="43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 localSheetId="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41">CubicSpline_YC!$C$100:$C$400</definedName>
    <definedName name="i" localSheetId="42">CubicSpline_YC_Optim!$C$100:$C$400</definedName>
    <definedName name="i" localSheetId="43">CubicSpline_YC_Optim_Penalized!$C$100:$C$400</definedName>
    <definedName name="i">CubicSpline3!$AA$8:$AA$38</definedName>
    <definedName name="i_1" localSheetId="43">CubicSpline_YC_Optim_Penalized!$B$100:$B$400</definedName>
    <definedName name="i_1">CubicSpline_YC_Optim!$B$100:$B$400</definedName>
    <definedName name="idx" localSheetId="2">#REF!</definedName>
    <definedName name="idx" localSheetId="3">#REF!</definedName>
    <definedName name="idx">#REF!</definedName>
    <definedName name="Inflator">[1]RSquareAdj!$C$10</definedName>
    <definedName name="k" localSheetId="2">[15]KNN_Vote!$AA$3</definedName>
    <definedName name="k" localSheetId="3">[15]KNN_Vote!$AA$3</definedName>
    <definedName name="k">#REF!</definedName>
    <definedName name="L">#REF!</definedName>
    <definedName name="label" localSheetId="41">CubicSpline_YC!$B$28:$B$59</definedName>
    <definedName name="label" localSheetId="42">CubicSpline_YC_Optim!$B$28:$B$59</definedName>
    <definedName name="label" localSheetId="43">CubicSpline_YC_Optim_Penalized!$B$28:$B$59</definedName>
    <definedName name="label" localSheetId="40">CubicSpline3!$B$25:$B$36</definedName>
    <definedName name="label">#REF!</definedName>
    <definedName name="LL">#REF!</definedName>
    <definedName name="LN_Sim" localSheetId="2">#REF!</definedName>
    <definedName name="LN_Sim" localSheetId="3">#REF!</definedName>
    <definedName name="LN_Sim">#REF!</definedName>
    <definedName name="loss" localSheetId="2">#REF!</definedName>
    <definedName name="loss" localSheetId="3">#REF!</definedName>
    <definedName name="loss">#REF!</definedName>
    <definedName name="loss_30" localSheetId="2">#REF!</definedName>
    <definedName name="loss_30" localSheetId="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3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3">#REF!</definedName>
    <definedName name="Period">#REF!</definedName>
    <definedName name="peso_rate">[12]FX_Intro!$C$66</definedName>
    <definedName name="Pij" localSheetId="2">#REF!</definedName>
    <definedName name="Pij" localSheetId="3">#REF!</definedName>
    <definedName name="Pij">#REF!</definedName>
    <definedName name="pmt" localSheetId="2">#REF!</definedName>
    <definedName name="pmt" localSheetId="3">#REF!</definedName>
    <definedName name="pmt">#REF!</definedName>
    <definedName name="pmt_" localSheetId="2">#REF!</definedName>
    <definedName name="pmt_" localSheetId="3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3">#REF!</definedName>
    <definedName name="price1">#REF!</definedName>
    <definedName name="price2" localSheetId="2">#REF!</definedName>
    <definedName name="price2" localSheetId="3">#REF!</definedName>
    <definedName name="price2">#REF!</definedName>
    <definedName name="price3" localSheetId="2">#REF!</definedName>
    <definedName name="price3" localSheetId="3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3">#REF!</definedName>
    <definedName name="risk1">#REF!</definedName>
    <definedName name="risk2" localSheetId="2">#REF!</definedName>
    <definedName name="risk2" localSheetId="3">#REF!</definedName>
    <definedName name="risk2">#REF!</definedName>
    <definedName name="risk3" localSheetId="2">#REF!</definedName>
    <definedName name="risk3" localSheetId="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3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3">#REF!</definedName>
    <definedName name="SE0">#REF!</definedName>
    <definedName name="SE1_" localSheetId="2">#REF!</definedName>
    <definedName name="SE1_" localSheetId="3">#REF!</definedName>
    <definedName name="SE1_">#REF!</definedName>
    <definedName name="SE2_" localSheetId="2">#REF!</definedName>
    <definedName name="SE2_" localSheetId="3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42" hidden="1">CubicSpline_YC_Optim!$AN$28:$AN$59</definedName>
    <definedName name="solver_adj" localSheetId="43" hidden="1">CubicSpline_YC_Optim_Penalized!$AN$28:$AN$59</definedName>
    <definedName name="solver_adj" localSheetId="16" hidden="1">Iris_Fit!$H$4:$H$8</definedName>
    <definedName name="solver_adj" localSheetId="17" hidden="1">Iris_Forecast_OOS!$H$4:$H$8</definedName>
    <definedName name="solver_cvg" localSheetId="42" hidden="1">0.0001</definedName>
    <definedName name="solver_cvg" localSheetId="43" hidden="1">0.0001</definedName>
    <definedName name="solver_cvg" localSheetId="16" hidden="1">0.0001</definedName>
    <definedName name="solver_cvg" localSheetId="17" hidden="1">0.0001</definedName>
    <definedName name="solver_drv" localSheetId="42" hidden="1">1</definedName>
    <definedName name="solver_drv" localSheetId="43" hidden="1">1</definedName>
    <definedName name="solver_drv" localSheetId="16" hidden="1">1</definedName>
    <definedName name="solver_drv" localSheetId="17" hidden="1">1</definedName>
    <definedName name="solver_eng" localSheetId="42" hidden="1">1</definedName>
    <definedName name="solver_eng" localSheetId="43" hidden="1">1</definedName>
    <definedName name="solver_eng" localSheetId="16" hidden="1">1</definedName>
    <definedName name="solver_eng" localSheetId="17" hidden="1">1</definedName>
    <definedName name="solver_itr" localSheetId="42" hidden="1">2147483647</definedName>
    <definedName name="solver_itr" localSheetId="43" hidden="1">2147483647</definedName>
    <definedName name="solver_itr" localSheetId="16" hidden="1">2147483647</definedName>
    <definedName name="solver_itr" localSheetId="17" hidden="1">2147483647</definedName>
    <definedName name="solver_lin" localSheetId="42" hidden="1">2</definedName>
    <definedName name="solver_lin" localSheetId="43" hidden="1">2</definedName>
    <definedName name="solver_lin" localSheetId="16" hidden="1">2</definedName>
    <definedName name="solver_lin" localSheetId="17" hidden="1">2</definedName>
    <definedName name="solver_mip" localSheetId="42" hidden="1">2147483647</definedName>
    <definedName name="solver_mip" localSheetId="43" hidden="1">2147483647</definedName>
    <definedName name="solver_mip" localSheetId="16" hidden="1">2147483647</definedName>
    <definedName name="solver_mip" localSheetId="17" hidden="1">2147483647</definedName>
    <definedName name="solver_mni" localSheetId="42" hidden="1">30</definedName>
    <definedName name="solver_mni" localSheetId="43" hidden="1">30</definedName>
    <definedName name="solver_mni" localSheetId="16" hidden="1">30</definedName>
    <definedName name="solver_mni" localSheetId="17" hidden="1">30</definedName>
    <definedName name="solver_mrt" localSheetId="42" hidden="1">0.075</definedName>
    <definedName name="solver_mrt" localSheetId="43" hidden="1">0.075</definedName>
    <definedName name="solver_mrt" localSheetId="16" hidden="1">0.075</definedName>
    <definedName name="solver_mrt" localSheetId="17" hidden="1">0.075</definedName>
    <definedName name="solver_msl" localSheetId="42" hidden="1">2</definedName>
    <definedName name="solver_msl" localSheetId="43" hidden="1">2</definedName>
    <definedName name="solver_msl" localSheetId="16" hidden="1">2</definedName>
    <definedName name="solver_msl" localSheetId="17" hidden="1">2</definedName>
    <definedName name="solver_neg" localSheetId="42" hidden="1">2</definedName>
    <definedName name="solver_neg" localSheetId="43" hidden="1">2</definedName>
    <definedName name="solver_neg" localSheetId="16" hidden="1">1</definedName>
    <definedName name="solver_neg" localSheetId="17" hidden="1">1</definedName>
    <definedName name="solver_nod" localSheetId="42" hidden="1">2147483647</definedName>
    <definedName name="solver_nod" localSheetId="43" hidden="1">2147483647</definedName>
    <definedName name="solver_nod" localSheetId="16" hidden="1">2147483647</definedName>
    <definedName name="solver_nod" localSheetId="17" hidden="1">2147483647</definedName>
    <definedName name="solver_num" localSheetId="42" hidden="1">0</definedName>
    <definedName name="solver_num" localSheetId="43" hidden="1">0</definedName>
    <definedName name="solver_num" localSheetId="16" hidden="1">0</definedName>
    <definedName name="solver_num" localSheetId="17" hidden="1">0</definedName>
    <definedName name="solver_opt" localSheetId="42" hidden="1">CubicSpline_YC_Optim!$O$101</definedName>
    <definedName name="solver_opt" localSheetId="43" hidden="1">CubicSpline_YC_Optim_Penalized!$AF$101</definedName>
    <definedName name="solver_opt" localSheetId="16" hidden="1">Iris_Fit!$K$4</definedName>
    <definedName name="solver_opt" localSheetId="17" hidden="1">Iris_Forecast_OOS!$K$4</definedName>
    <definedName name="solver_pre" localSheetId="42" hidden="1">0.000001</definedName>
    <definedName name="solver_pre" localSheetId="43" hidden="1">0.000001</definedName>
    <definedName name="solver_pre" localSheetId="16" hidden="1">0.000001</definedName>
    <definedName name="solver_pre" localSheetId="17" hidden="1">0.000001</definedName>
    <definedName name="solver_rbv" localSheetId="42" hidden="1">1</definedName>
    <definedName name="solver_rbv" localSheetId="43" hidden="1">1</definedName>
    <definedName name="solver_rbv" localSheetId="16" hidden="1">1</definedName>
    <definedName name="solver_rbv" localSheetId="17" hidden="1">1</definedName>
    <definedName name="solver_rlx" localSheetId="42" hidden="1">1</definedName>
    <definedName name="solver_rlx" localSheetId="43" hidden="1">1</definedName>
    <definedName name="solver_rlx" localSheetId="16" hidden="1">2</definedName>
    <definedName name="solver_rlx" localSheetId="17" hidden="1">2</definedName>
    <definedName name="solver_rsd" localSheetId="42" hidden="1">0</definedName>
    <definedName name="solver_rsd" localSheetId="43" hidden="1">0</definedName>
    <definedName name="solver_rsd" localSheetId="16" hidden="1">0</definedName>
    <definedName name="solver_rsd" localSheetId="17" hidden="1">0</definedName>
    <definedName name="solver_scl" localSheetId="42" hidden="1">2</definedName>
    <definedName name="solver_scl" localSheetId="43" hidden="1">2</definedName>
    <definedName name="solver_scl" localSheetId="16" hidden="1">1</definedName>
    <definedName name="solver_scl" localSheetId="17" hidden="1">1</definedName>
    <definedName name="solver_sho" localSheetId="42" hidden="1">2</definedName>
    <definedName name="solver_sho" localSheetId="43" hidden="1">2</definedName>
    <definedName name="solver_sho" localSheetId="16" hidden="1">2</definedName>
    <definedName name="solver_sho" localSheetId="17" hidden="1">2</definedName>
    <definedName name="solver_ssz" localSheetId="42" hidden="1">100</definedName>
    <definedName name="solver_ssz" localSheetId="43" hidden="1">100</definedName>
    <definedName name="solver_ssz" localSheetId="16" hidden="1">100</definedName>
    <definedName name="solver_ssz" localSheetId="17" hidden="1">100</definedName>
    <definedName name="solver_tim" localSheetId="42" hidden="1">2147483647</definedName>
    <definedName name="solver_tim" localSheetId="43" hidden="1">2147483647</definedName>
    <definedName name="solver_tim" localSheetId="16" hidden="1">2147483647</definedName>
    <definedName name="solver_tim" localSheetId="17" hidden="1">2147483647</definedName>
    <definedName name="solver_tol" localSheetId="42" hidden="1">0.01</definedName>
    <definedName name="solver_tol" localSheetId="43" hidden="1">0.01</definedName>
    <definedName name="solver_tol" localSheetId="16" hidden="1">0.01</definedName>
    <definedName name="solver_tol" localSheetId="17" hidden="1">0.01</definedName>
    <definedName name="solver_typ" localSheetId="42" hidden="1">2</definedName>
    <definedName name="solver_typ" localSheetId="43" hidden="1">2</definedName>
    <definedName name="solver_typ" localSheetId="16" hidden="1">1</definedName>
    <definedName name="solver_typ" localSheetId="17" hidden="1">1</definedName>
    <definedName name="solver_val" localSheetId="42" hidden="1">0</definedName>
    <definedName name="solver_val" localSheetId="43" hidden="1">0</definedName>
    <definedName name="solver_val" localSheetId="16" hidden="1">0</definedName>
    <definedName name="solver_val" localSheetId="17" hidden="1">0</definedName>
    <definedName name="solver_ver" localSheetId="42" hidden="1">2</definedName>
    <definedName name="solver_ver" localSheetId="43" hidden="1">2</definedName>
    <definedName name="solver_ver" localSheetId="16" hidden="1">2</definedName>
    <definedName name="solver_ver" localSheetId="17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3">#REF!</definedName>
    <definedName name="stdev">#REF!</definedName>
    <definedName name="Sum">[13]CentralLimitTheorem!$C$7:$C$106</definedName>
    <definedName name="t" localSheetId="41">CubicSpline_YC!$D$100:$D$400</definedName>
    <definedName name="t" localSheetId="42">CubicSpline_YC_Optim!$D$100:$D$400</definedName>
    <definedName name="t" localSheetId="43">CubicSpline_YC_Optim_Penalized!$D$100:$D$400</definedName>
    <definedName name="t" localSheetId="2">#REF!</definedName>
    <definedName name="t" localSheetId="3">#REF!</definedName>
    <definedName name="t">CubicSpline3!$AB$8:$AB$38</definedName>
    <definedName name="t_">[4]CDS!$B$21:$B$25</definedName>
    <definedName name="table_asf">[19]ASF!$C$31:$D$34</definedName>
    <definedName name="time" localSheetId="41">CubicSpline_YC!$D$28:$D$59</definedName>
    <definedName name="time" localSheetId="42">CubicSpline_YC_Optim!$D$28:$D$59</definedName>
    <definedName name="time" localSheetId="43">CubicSpline_YC_Optim_Penalized!$D$28:$D$59</definedName>
    <definedName name="time" localSheetId="39">CubicSpline2!$D$25:$D$36</definedName>
    <definedName name="time" localSheetId="40">CubicSpline3!$D$25:$D$36</definedName>
    <definedName name="Time" localSheetId="2">#REF!</definedName>
    <definedName name="Time" localSheetId="3">#REF!</definedName>
    <definedName name="Time">#REF!</definedName>
    <definedName name="Time_" localSheetId="41">CubicSpline_YC!$F$37:$F$66</definedName>
    <definedName name="Time_" localSheetId="42">CubicSpline_YC_Optim!$F$37:$F$66</definedName>
    <definedName name="Time_" localSheetId="43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41">CubicSpline_YC!$C$28:$C$59</definedName>
    <definedName name="value" localSheetId="42">CubicSpline_YC_Optim!$C$28:$C$59</definedName>
    <definedName name="value" localSheetId="43">CubicSpline_YC_Optim_Penalized!$C$28:$C$59</definedName>
    <definedName name="value" localSheetId="40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3">#REF!</definedName>
    <definedName name="y_draw">#REF!</definedName>
    <definedName name="ybar" localSheetId="2">#REF!</definedName>
    <definedName name="ybar" localSheetId="3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3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96" i="155" l="1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26" i="151" l="1"/>
  <c r="T34" i="151"/>
  <c r="T29" i="151"/>
  <c r="T31" i="151"/>
  <c r="T27" i="151"/>
  <c r="T35" i="151"/>
  <c r="T25" i="151"/>
  <c r="T33" i="151"/>
  <c r="T36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3" i="152" l="1"/>
  <c r="T31" i="152"/>
  <c r="T26" i="152"/>
  <c r="T29" i="152"/>
  <c r="T36" i="152"/>
  <c r="T27" i="152"/>
  <c r="T32" i="152"/>
  <c r="T34" i="152"/>
  <c r="T28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E111" i="154"/>
  <c r="E209" i="154"/>
  <c r="E347" i="154"/>
  <c r="E255" i="155"/>
  <c r="E251" i="155"/>
  <c r="E251" i="154"/>
  <c r="E379" i="154"/>
  <c r="E135" i="154"/>
  <c r="E186" i="154"/>
  <c r="AC32" i="152"/>
  <c r="E396" i="155"/>
  <c r="E170" i="155"/>
  <c r="AC19" i="152"/>
  <c r="E130" i="155"/>
  <c r="E194" i="155"/>
  <c r="E320" i="154"/>
  <c r="E185" i="154"/>
  <c r="E272" i="155"/>
  <c r="E359" i="155"/>
  <c r="E373" i="154"/>
  <c r="E199" i="155"/>
  <c r="E303" i="155"/>
  <c r="E291" i="155"/>
  <c r="E166" i="155"/>
  <c r="E388" i="154"/>
  <c r="E391" i="155"/>
  <c r="E261" i="154"/>
  <c r="E335" i="154"/>
  <c r="E370" i="154"/>
  <c r="E271" i="154"/>
  <c r="E257" i="155"/>
  <c r="E225" i="155"/>
  <c r="E173" i="155"/>
  <c r="E301" i="155"/>
  <c r="E302" i="154"/>
  <c r="E196" i="155"/>
  <c r="E102" i="155"/>
  <c r="E385" i="155"/>
  <c r="E355" i="155"/>
  <c r="E288" i="155"/>
  <c r="E317" i="155"/>
  <c r="H200" i="155"/>
  <c r="E101" i="155"/>
  <c r="E110" i="155"/>
  <c r="E206" i="155"/>
  <c r="E103" i="154"/>
  <c r="E270" i="154"/>
  <c r="E392" i="154"/>
  <c r="E204" i="154"/>
  <c r="E223" i="155"/>
  <c r="E187" i="155"/>
  <c r="E118" i="154"/>
  <c r="E365" i="154"/>
  <c r="E131" i="155"/>
  <c r="E316" i="154"/>
  <c r="E110" i="154"/>
  <c r="E206" i="154"/>
  <c r="E353" i="154"/>
  <c r="E218" i="154"/>
  <c r="E240" i="155"/>
  <c r="E362" i="154"/>
  <c r="E348" i="154"/>
  <c r="E386" i="154"/>
  <c r="E356" i="155"/>
  <c r="E136" i="154"/>
  <c r="AC31" i="152"/>
  <c r="E387" i="155"/>
  <c r="E161" i="154"/>
  <c r="E244" i="154"/>
  <c r="E117" i="155"/>
  <c r="E318" i="155"/>
  <c r="E124" i="154"/>
  <c r="E275" i="155"/>
  <c r="E281" i="155"/>
  <c r="E389" i="155"/>
  <c r="E394" i="155"/>
  <c r="E296" i="155"/>
  <c r="E167" i="154"/>
  <c r="E364" i="154"/>
  <c r="E314" i="155"/>
  <c r="E113" i="155"/>
  <c r="E154" i="155"/>
  <c r="E229" i="155"/>
  <c r="E118" i="155"/>
  <c r="E368" i="155"/>
  <c r="E120" i="155"/>
  <c r="E384" i="155"/>
  <c r="E332" i="154"/>
  <c r="E205" i="155"/>
  <c r="E162" i="155"/>
  <c r="E101" i="154"/>
  <c r="E143" i="154"/>
  <c r="E243" i="155"/>
  <c r="E196" i="154"/>
  <c r="E242" i="154"/>
  <c r="E182" i="154"/>
  <c r="E267" i="155"/>
  <c r="E158" i="155"/>
  <c r="E341" i="155"/>
  <c r="E342" i="155"/>
  <c r="E326" i="155"/>
  <c r="E105" i="155"/>
  <c r="E272" i="154"/>
  <c r="E114" i="154"/>
  <c r="E318" i="154"/>
  <c r="E322" i="155"/>
  <c r="E388" i="155"/>
  <c r="AC22" i="152"/>
  <c r="E369" i="154"/>
  <c r="E327" i="155"/>
  <c r="E215" i="155"/>
  <c r="E208" i="154"/>
  <c r="E352" i="155"/>
  <c r="E394" i="154"/>
  <c r="E131" i="154"/>
  <c r="E294" i="155"/>
  <c r="E268" i="154"/>
  <c r="E225" i="154"/>
  <c r="E178" i="154"/>
  <c r="E292" i="154"/>
  <c r="E230" i="154"/>
  <c r="E316" i="155"/>
  <c r="E158" i="154"/>
  <c r="E250" i="155"/>
  <c r="E291" i="154"/>
  <c r="E253" i="154"/>
  <c r="E199" i="154"/>
  <c r="E105" i="154"/>
  <c r="E256" i="155"/>
  <c r="E371" i="154"/>
  <c r="AC36" i="152"/>
  <c r="E188" i="154"/>
  <c r="E202" i="154"/>
  <c r="AC33" i="152"/>
  <c r="E259" i="155"/>
  <c r="AC24" i="152"/>
  <c r="E315" i="155"/>
  <c r="E234" i="155"/>
  <c r="E222" i="155"/>
  <c r="E376" i="154"/>
  <c r="E384" i="154"/>
  <c r="E375" i="154"/>
  <c r="E193" i="155"/>
  <c r="E183" i="154"/>
  <c r="E217" i="155"/>
  <c r="AC13" i="152"/>
  <c r="E356" i="154"/>
  <c r="E274" i="154"/>
  <c r="E380" i="155"/>
  <c r="E102" i="154"/>
  <c r="E237" i="154"/>
  <c r="E399" i="154"/>
  <c r="E357" i="155"/>
  <c r="E222" i="154"/>
  <c r="E267" i="154"/>
  <c r="E328" i="154"/>
  <c r="E235" i="155"/>
  <c r="E178" i="155"/>
  <c r="E116" i="155"/>
  <c r="E315" i="154"/>
  <c r="E263" i="155"/>
  <c r="E302" i="155"/>
  <c r="E220" i="155"/>
  <c r="E133" i="155"/>
  <c r="E324" i="155"/>
  <c r="E174" i="155"/>
  <c r="E169" i="155"/>
  <c r="E309" i="154"/>
  <c r="E339" i="154"/>
  <c r="E144" i="154"/>
  <c r="E113" i="154"/>
  <c r="E391" i="154"/>
  <c r="E207" i="154"/>
  <c r="E170" i="154"/>
  <c r="E349" i="155"/>
  <c r="H130" i="154"/>
  <c r="E185" i="155"/>
  <c r="E283" i="154"/>
  <c r="E254" i="154"/>
  <c r="E254" i="155"/>
  <c r="E250" i="154"/>
  <c r="E286" i="155"/>
  <c r="E241" i="154"/>
  <c r="E290" i="154"/>
  <c r="H150" i="155"/>
  <c r="E249" i="154"/>
  <c r="AC21" i="152"/>
  <c r="E181" i="154"/>
  <c r="E151" i="155"/>
  <c r="E221" i="154"/>
  <c r="E338" i="154"/>
  <c r="E370" i="155"/>
  <c r="E313" i="155"/>
  <c r="AC25" i="152"/>
  <c r="E207" i="155"/>
  <c r="E311" i="155"/>
  <c r="E327" i="154"/>
  <c r="E265" i="155"/>
  <c r="E398" i="154"/>
  <c r="E111" i="155"/>
  <c r="E129" i="155"/>
  <c r="E214" i="155"/>
  <c r="E341" i="154"/>
  <c r="E212" i="154"/>
  <c r="E311" i="154"/>
  <c r="E123" i="155"/>
  <c r="AC29" i="152"/>
  <c r="E125" i="155"/>
  <c r="E393" i="155"/>
  <c r="E211" i="154"/>
  <c r="E227" i="154"/>
  <c r="E128" i="155"/>
  <c r="E279" i="155"/>
  <c r="E319" i="154"/>
  <c r="E157" i="155"/>
  <c r="E305" i="155"/>
  <c r="E383" i="154"/>
  <c r="E231" i="154"/>
  <c r="E284" i="154"/>
  <c r="E295" i="155"/>
  <c r="E151" i="154"/>
  <c r="E300" i="155"/>
  <c r="E317" i="154"/>
  <c r="H140" i="154"/>
  <c r="E336" i="155"/>
  <c r="E235" i="154"/>
  <c r="E191" i="155"/>
  <c r="E289" i="155"/>
  <c r="E150" i="155"/>
  <c r="E297" i="154"/>
  <c r="E202" i="155"/>
  <c r="E255" i="154"/>
  <c r="E248" i="155"/>
  <c r="H150" i="154"/>
  <c r="E289" i="154"/>
  <c r="E349" i="154"/>
  <c r="E106" i="154"/>
  <c r="E308" i="154"/>
  <c r="E204" i="155"/>
  <c r="E350" i="154"/>
  <c r="E216" i="155"/>
  <c r="E180" i="155"/>
  <c r="E252" i="154"/>
  <c r="E389" i="154"/>
  <c r="E176" i="154"/>
  <c r="E322" i="154"/>
  <c r="E293" i="155"/>
  <c r="E377" i="155"/>
  <c r="E183" i="155"/>
  <c r="E392" i="155"/>
  <c r="E192" i="154"/>
  <c r="E165" i="154"/>
  <c r="E312" i="154"/>
  <c r="E285" i="154"/>
  <c r="E195" i="154"/>
  <c r="E252" i="155"/>
  <c r="E381" i="155"/>
  <c r="E271" i="155"/>
  <c r="E184" i="155"/>
  <c r="E155" i="154"/>
  <c r="E122" i="155"/>
  <c r="E369" i="155"/>
  <c r="E373" i="155"/>
  <c r="E135" i="155"/>
  <c r="AC30" i="152"/>
  <c r="E175" i="154"/>
  <c r="E337" i="155"/>
  <c r="AC9" i="152"/>
  <c r="E287" i="155"/>
  <c r="AC18" i="152"/>
  <c r="E182" i="155"/>
  <c r="E203" i="155"/>
  <c r="E345" i="155"/>
  <c r="H130" i="155"/>
  <c r="E361" i="155"/>
  <c r="E314" i="154"/>
  <c r="E214" i="154"/>
  <c r="E347" i="155"/>
  <c r="E396" i="154"/>
  <c r="AC17" i="152"/>
  <c r="E278" i="155"/>
  <c r="H170" i="155"/>
  <c r="AC26" i="152"/>
  <c r="E142" i="155"/>
  <c r="E270" i="155"/>
  <c r="E339" i="155"/>
  <c r="E295" i="154"/>
  <c r="E218" i="155"/>
  <c r="E307" i="154"/>
  <c r="E256" i="154"/>
  <c r="E276" i="155"/>
  <c r="E243" i="154"/>
  <c r="E238" i="155"/>
  <c r="E103" i="155"/>
  <c r="E136" i="155"/>
  <c r="E234" i="154"/>
  <c r="E323" i="154"/>
  <c r="H170" i="154"/>
  <c r="E224" i="154"/>
  <c r="E282" i="154"/>
  <c r="E137" i="154"/>
  <c r="E242" i="155"/>
  <c r="E257" i="154"/>
  <c r="E172" i="154"/>
  <c r="E203" i="154"/>
  <c r="E221" i="155"/>
  <c r="E244" i="155"/>
  <c r="E180" i="154"/>
  <c r="E154" i="154"/>
  <c r="E287" i="154"/>
  <c r="E332" i="155"/>
  <c r="E378" i="154"/>
  <c r="E259" i="154"/>
  <c r="E140" i="154"/>
  <c r="E121" i="155"/>
  <c r="E304" i="155"/>
  <c r="E380" i="154"/>
  <c r="E353" i="155"/>
  <c r="E264" i="154"/>
  <c r="E379" i="155"/>
  <c r="E390" i="154"/>
  <c r="E174" i="154"/>
  <c r="E266" i="155"/>
  <c r="E153" i="155"/>
  <c r="E354" i="155"/>
  <c r="E184" i="154"/>
  <c r="E179" i="155"/>
  <c r="E377" i="154"/>
  <c r="E395" i="154"/>
  <c r="E115" i="155"/>
  <c r="E236" i="155"/>
  <c r="E149" i="154"/>
  <c r="E397" i="155"/>
  <c r="AC37" i="152"/>
  <c r="E171" i="154"/>
  <c r="E107" i="154"/>
  <c r="E145" i="155"/>
  <c r="E374" i="155"/>
  <c r="AC23" i="152"/>
  <c r="E104" i="154"/>
  <c r="E190" i="154"/>
  <c r="E333" i="154"/>
  <c r="E134" i="154"/>
  <c r="E246" i="155"/>
  <c r="E133" i="154"/>
  <c r="E224" i="155"/>
  <c r="AC12" i="152"/>
  <c r="E338" i="155"/>
  <c r="E330" i="155"/>
  <c r="E277" i="155"/>
  <c r="E268" i="155"/>
  <c r="E164" i="155"/>
  <c r="E145" i="154"/>
  <c r="H120" i="154"/>
  <c r="AC14" i="152"/>
  <c r="H200" i="154"/>
  <c r="AC27" i="152"/>
  <c r="E321" i="155"/>
  <c r="E371" i="155"/>
  <c r="E197" i="155"/>
  <c r="E310" i="155"/>
  <c r="E106" i="155"/>
  <c r="H120" i="155"/>
  <c r="E354" i="154"/>
  <c r="E179" i="154"/>
  <c r="E227" i="155"/>
  <c r="E160" i="155"/>
  <c r="E297" i="155"/>
  <c r="E146" i="155"/>
  <c r="E194" i="154"/>
  <c r="E258" i="154"/>
  <c r="E246" i="154"/>
  <c r="E335" i="155"/>
  <c r="E232" i="155"/>
  <c r="E309" i="155"/>
  <c r="E367" i="155"/>
  <c r="E273" i="154"/>
  <c r="E231" i="155"/>
  <c r="E114" i="155"/>
  <c r="E286" i="154"/>
  <c r="E334" i="154"/>
  <c r="E397" i="154"/>
  <c r="E213" i="154"/>
  <c r="AC8" i="152"/>
  <c r="E245" i="154"/>
  <c r="E240" i="154"/>
  <c r="E253" i="155"/>
  <c r="E186" i="155"/>
  <c r="E290" i="155"/>
  <c r="E233" i="155"/>
  <c r="E189" i="154"/>
  <c r="E343" i="155"/>
  <c r="E188" i="155"/>
  <c r="E161" i="155"/>
  <c r="E288" i="154"/>
  <c r="E280" i="154"/>
  <c r="E165" i="155"/>
  <c r="E367" i="154"/>
  <c r="E175" i="155"/>
  <c r="E357" i="154"/>
  <c r="E181" i="155"/>
  <c r="E359" i="154"/>
  <c r="E223" i="154"/>
  <c r="E125" i="154"/>
  <c r="E148" i="154"/>
  <c r="E340" i="155"/>
  <c r="E208" i="155"/>
  <c r="E100" i="155"/>
  <c r="E134" i="155"/>
  <c r="E126" i="155"/>
  <c r="E172" i="155"/>
  <c r="E232" i="154"/>
  <c r="E241" i="155"/>
  <c r="E372" i="154"/>
  <c r="E263" i="154"/>
  <c r="E192" i="155"/>
  <c r="E120" i="154"/>
  <c r="E260" i="155"/>
  <c r="E283" i="155"/>
  <c r="E344" i="155"/>
  <c r="E278" i="154"/>
  <c r="E147" i="154"/>
  <c r="E163" i="155"/>
  <c r="E226" i="154"/>
  <c r="E304" i="154"/>
  <c r="E191" i="154"/>
  <c r="E236" i="154"/>
  <c r="E200" i="154"/>
  <c r="E325" i="154"/>
  <c r="E266" i="154"/>
  <c r="E143" i="155"/>
  <c r="E147" i="155"/>
  <c r="E163" i="154"/>
  <c r="E228" i="155"/>
  <c r="E141" i="155"/>
  <c r="E109" i="155"/>
  <c r="E219" i="154"/>
  <c r="E398" i="155"/>
  <c r="E141" i="154"/>
  <c r="E282" i="155"/>
  <c r="E298" i="155"/>
  <c r="E144" i="155"/>
  <c r="E345" i="154"/>
  <c r="E238" i="154"/>
  <c r="E365" i="155"/>
  <c r="E152" i="155"/>
  <c r="E361" i="154"/>
  <c r="E323" i="155"/>
  <c r="E156" i="154"/>
  <c r="E155" i="155"/>
  <c r="E276" i="154"/>
  <c r="E171" i="155"/>
  <c r="E119" i="154"/>
  <c r="AC11" i="152"/>
  <c r="E363" i="154"/>
  <c r="E352" i="154"/>
  <c r="E319" i="155"/>
  <c r="E400" i="154"/>
  <c r="E187" i="154"/>
  <c r="E119" i="155"/>
  <c r="E210" i="154"/>
  <c r="E137" i="155"/>
  <c r="E149" i="155"/>
  <c r="E329" i="154"/>
  <c r="E217" i="154"/>
  <c r="E245" i="155"/>
  <c r="E265" i="154"/>
  <c r="E100" i="154"/>
  <c r="E104" i="155"/>
  <c r="E108" i="154"/>
  <c r="E273" i="155"/>
  <c r="E262" i="154"/>
  <c r="E205" i="154"/>
  <c r="E292" i="155"/>
  <c r="E299" i="155"/>
  <c r="E216" i="154"/>
  <c r="E112" i="155"/>
  <c r="AC28" i="152"/>
  <c r="E381" i="154"/>
  <c r="E122" i="154"/>
  <c r="E129" i="154"/>
  <c r="E366" i="154"/>
  <c r="E210" i="155"/>
  <c r="E146" i="154"/>
  <c r="E139" i="154"/>
  <c r="E177" i="155"/>
  <c r="E109" i="154"/>
  <c r="E363" i="155"/>
  <c r="E390" i="155"/>
  <c r="E378" i="155"/>
  <c r="E280" i="155"/>
  <c r="E127" i="155"/>
  <c r="E148" i="155"/>
  <c r="E393" i="154"/>
  <c r="E248" i="154"/>
  <c r="E211" i="155"/>
  <c r="E189" i="155"/>
  <c r="E342" i="154"/>
  <c r="E294" i="154"/>
  <c r="E351" i="154"/>
  <c r="E127" i="154"/>
  <c r="E337" i="154"/>
  <c r="E247" i="155"/>
  <c r="E306" i="155"/>
  <c r="E296" i="154"/>
  <c r="E358" i="154"/>
  <c r="E364" i="155"/>
  <c r="E132" i="155"/>
  <c r="E197" i="154"/>
  <c r="E375" i="155"/>
  <c r="E230" i="155"/>
  <c r="E306" i="154"/>
  <c r="E160" i="154"/>
  <c r="E262" i="155"/>
  <c r="E333" i="155"/>
  <c r="E229" i="154"/>
  <c r="E237" i="155"/>
  <c r="E340" i="154"/>
  <c r="E115" i="154"/>
  <c r="E269" i="155"/>
  <c r="E162" i="154"/>
  <c r="E299" i="154"/>
  <c r="E334" i="155"/>
  <c r="E264" i="155"/>
  <c r="E193" i="154"/>
  <c r="E209" i="155"/>
  <c r="E395" i="155"/>
  <c r="E387" i="154"/>
  <c r="E198" i="154"/>
  <c r="E372" i="155"/>
  <c r="E140" i="155"/>
  <c r="E195" i="155"/>
  <c r="E331" i="155"/>
  <c r="E130" i="154"/>
  <c r="AC20" i="152"/>
  <c r="E329" i="155"/>
  <c r="E382" i="155"/>
  <c r="E325" i="155"/>
  <c r="E201" i="154"/>
  <c r="E360" i="154"/>
  <c r="E298" i="154"/>
  <c r="E107" i="155"/>
  <c r="E269" i="154"/>
  <c r="E368" i="154"/>
  <c r="E126" i="154"/>
  <c r="E176" i="155"/>
  <c r="E247" i="154"/>
  <c r="E198" i="155"/>
  <c r="E258" i="155"/>
  <c r="E350" i="155"/>
  <c r="E177" i="154"/>
  <c r="E300" i="154"/>
  <c r="E313" i="154"/>
  <c r="E321" i="154"/>
  <c r="E138" i="155"/>
  <c r="E331" i="154"/>
  <c r="E112" i="154"/>
  <c r="E366" i="155"/>
  <c r="E376" i="155"/>
  <c r="E343" i="154"/>
  <c r="E239" i="154"/>
  <c r="E219" i="155"/>
  <c r="E383" i="155"/>
  <c r="E139" i="155"/>
  <c r="E279" i="154"/>
  <c r="E138" i="154"/>
  <c r="E324" i="154"/>
  <c r="E152" i="154"/>
  <c r="E215" i="154"/>
  <c r="H140" i="155"/>
  <c r="E167" i="155"/>
  <c r="E168" i="154"/>
  <c r="E166" i="154"/>
  <c r="E108" i="155"/>
  <c r="E156" i="155"/>
  <c r="E277" i="154"/>
  <c r="E249" i="155"/>
  <c r="E320" i="155"/>
  <c r="E355" i="154"/>
  <c r="E382" i="154"/>
  <c r="E346" i="154"/>
  <c r="E124" i="155"/>
  <c r="E293" i="154"/>
  <c r="E239" i="155"/>
  <c r="E260" i="154"/>
  <c r="E213" i="155"/>
  <c r="E153" i="154"/>
  <c r="E348" i="155"/>
  <c r="E159" i="155"/>
  <c r="E344" i="154"/>
  <c r="AC34" i="152"/>
  <c r="E274" i="155"/>
  <c r="E284" i="155"/>
  <c r="E308" i="155"/>
  <c r="E275" i="154"/>
  <c r="E169" i="154"/>
  <c r="E301" i="154"/>
  <c r="E326" i="154"/>
  <c r="E305" i="154"/>
  <c r="E150" i="154"/>
  <c r="E173" i="154"/>
  <c r="E142" i="154"/>
  <c r="E351" i="155"/>
  <c r="E307" i="155"/>
  <c r="AC35" i="152"/>
  <c r="AC10" i="152"/>
  <c r="E399" i="155"/>
  <c r="E310" i="154"/>
  <c r="E358" i="155"/>
  <c r="AC15" i="152"/>
  <c r="E168" i="155"/>
  <c r="AC16" i="152"/>
  <c r="E285" i="155"/>
  <c r="E374" i="154"/>
  <c r="E303" i="154"/>
  <c r="E164" i="154"/>
  <c r="E233" i="154"/>
  <c r="E336" i="154"/>
  <c r="E330" i="154"/>
  <c r="E362" i="155"/>
  <c r="AC38" i="152"/>
  <c r="E346" i="155"/>
  <c r="E360" i="155"/>
  <c r="E400" i="155"/>
  <c r="E261" i="155"/>
  <c r="E226" i="155"/>
  <c r="E117" i="154"/>
  <c r="E159" i="154"/>
  <c r="E312" i="155"/>
  <c r="E228" i="154"/>
  <c r="E157" i="154"/>
  <c r="E385" i="154"/>
  <c r="E116" i="154"/>
  <c r="E212" i="155"/>
  <c r="E128" i="154"/>
  <c r="H110" i="154"/>
  <c r="E386" i="155"/>
  <c r="E328" i="155"/>
  <c r="E190" i="155"/>
  <c r="E200" i="155"/>
  <c r="E281" i="154"/>
  <c r="E220" i="154"/>
  <c r="H110" i="155"/>
  <c r="E121" i="154"/>
  <c r="E123" i="154"/>
  <c r="E132" i="154"/>
  <c r="E201" i="155"/>
  <c r="R197" i="155" l="1" a="1"/>
  <c r="R197" i="155" s="1"/>
  <c r="R362" i="155" a="1"/>
  <c r="R362" i="155" s="1"/>
  <c r="R379" i="155" a="1"/>
  <c r="R379" i="155" s="1"/>
  <c r="R129" i="155" a="1"/>
  <c r="R129" i="155" s="1"/>
  <c r="S129" i="155" s="1"/>
  <c r="R314" i="155" a="1"/>
  <c r="R314" i="155" s="1"/>
  <c r="R204" i="155" a="1"/>
  <c r="R204" i="155" s="1"/>
  <c r="R243" i="155" a="1"/>
  <c r="R243" i="155" s="1"/>
  <c r="R111" i="155" a="1"/>
  <c r="R111" i="155" s="1"/>
  <c r="R307" i="155" a="1"/>
  <c r="R307" i="155" s="1"/>
  <c r="R201" i="155" a="1"/>
  <c r="R201" i="155" s="1"/>
  <c r="I150" i="154"/>
  <c r="R338" i="155" a="1"/>
  <c r="R338" i="155" s="1"/>
  <c r="R353" i="155" a="1"/>
  <c r="R353" i="155" s="1"/>
  <c r="R351" i="155" a="1"/>
  <c r="R351" i="155" s="1"/>
  <c r="R289" i="155" a="1"/>
  <c r="R289" i="155" s="1"/>
  <c r="R265" i="155" a="1"/>
  <c r="R265" i="155" s="1"/>
  <c r="R296" i="155" a="1"/>
  <c r="R296" i="155" s="1"/>
  <c r="R245" i="155" a="1"/>
  <c r="R245" i="155" s="1"/>
  <c r="R212" i="155" a="1"/>
  <c r="R212" i="155" s="1"/>
  <c r="R304" i="155" a="1"/>
  <c r="R304" i="155" s="1"/>
  <c r="R394" i="155" a="1"/>
  <c r="R394" i="155" s="1"/>
  <c r="S394" i="155" s="1"/>
  <c r="R371" i="155" a="1"/>
  <c r="R371" i="155" s="1"/>
  <c r="R290" i="155" a="1"/>
  <c r="R290" i="155" s="1"/>
  <c r="R121" i="155" a="1"/>
  <c r="R121" i="155" s="1"/>
  <c r="R311" i="155" a="1"/>
  <c r="R311" i="155" s="1"/>
  <c r="R389" i="155" a="1"/>
  <c r="R389" i="155" s="1"/>
  <c r="G150" i="154"/>
  <c r="I120" i="154"/>
  <c r="R191" i="155" a="1"/>
  <c r="R191" i="155" s="1"/>
  <c r="R397" i="155" a="1"/>
  <c r="R397" i="155" s="1"/>
  <c r="G140" i="154"/>
  <c r="R207" i="155" a="1"/>
  <c r="R207" i="155" s="1"/>
  <c r="R281" i="155" a="1"/>
  <c r="R281" i="155" s="1"/>
  <c r="G100" i="154"/>
  <c r="R275" i="155" a="1"/>
  <c r="R275" i="155" s="1"/>
  <c r="R279" i="155" a="1"/>
  <c r="R279" i="155" s="1"/>
  <c r="R313" i="155" a="1"/>
  <c r="R313" i="155" s="1"/>
  <c r="R248" i="155" a="1"/>
  <c r="R248" i="155" s="1"/>
  <c r="R388" i="155" a="1"/>
  <c r="R388" i="155" s="1"/>
  <c r="S389" i="155" s="1"/>
  <c r="R332" i="155" a="1"/>
  <c r="R332" i="155" s="1"/>
  <c r="R370" i="155" a="1"/>
  <c r="R370" i="155" s="1"/>
  <c r="R318" i="155" a="1"/>
  <c r="R318" i="155" s="1"/>
  <c r="R321" i="155" a="1"/>
  <c r="R321" i="155" s="1"/>
  <c r="R117" i="155" a="1"/>
  <c r="R117" i="155" s="1"/>
  <c r="G200" i="155"/>
  <c r="R200" i="155" a="1"/>
  <c r="R200" i="155" s="1"/>
  <c r="R308" i="155" a="1"/>
  <c r="R308" i="155" s="1"/>
  <c r="S308" i="155" s="1"/>
  <c r="R352" i="155" a="1"/>
  <c r="R352" i="155" s="1"/>
  <c r="R224" i="155" a="1"/>
  <c r="R224" i="155" s="1"/>
  <c r="R128" i="155" a="1"/>
  <c r="R128" i="155" s="1"/>
  <c r="R151" i="155" a="1"/>
  <c r="R151" i="155" s="1"/>
  <c r="R284" i="155" a="1"/>
  <c r="R284" i="155" s="1"/>
  <c r="R322" i="155" a="1"/>
  <c r="R322" i="155" s="1"/>
  <c r="R244" i="155" a="1"/>
  <c r="R244" i="155" s="1"/>
  <c r="R387" i="155" a="1"/>
  <c r="R387" i="155" s="1"/>
  <c r="R274" i="155" a="1"/>
  <c r="R274" i="155" s="1"/>
  <c r="R186" i="155" a="1"/>
  <c r="R186" i="155" s="1"/>
  <c r="R336" i="155" a="1"/>
  <c r="R336" i="155" s="1"/>
  <c r="R236" i="155" a="1"/>
  <c r="R236" i="155" s="1"/>
  <c r="R221" i="155" a="1"/>
  <c r="R221" i="155" s="1"/>
  <c r="R164" i="155" a="1"/>
  <c r="R164" i="155" s="1"/>
  <c r="R162" i="155" a="1"/>
  <c r="R162" i="155" s="1"/>
  <c r="R190" i="155" a="1"/>
  <c r="R190" i="155" s="1"/>
  <c r="I150" i="155"/>
  <c r="R356" i="155" a="1"/>
  <c r="R356" i="155" s="1"/>
  <c r="R159" i="155" a="1"/>
  <c r="R159" i="155" s="1"/>
  <c r="R348" i="155" a="1"/>
  <c r="R348" i="155" s="1"/>
  <c r="R233" i="155" a="1"/>
  <c r="R233" i="155" s="1"/>
  <c r="I140" i="154"/>
  <c r="R115" i="155" a="1"/>
  <c r="R115" i="155" s="1"/>
  <c r="R242" i="155" a="1"/>
  <c r="R242" i="155" s="1"/>
  <c r="R268" i="155" a="1"/>
  <c r="R268" i="155" s="1"/>
  <c r="R205" i="155" a="1"/>
  <c r="R205" i="155" s="1"/>
  <c r="R286" i="155" a="1"/>
  <c r="R286" i="155" s="1"/>
  <c r="R213" i="155" a="1"/>
  <c r="R213" i="155" s="1"/>
  <c r="S213" i="155" s="1"/>
  <c r="R328" i="155" a="1"/>
  <c r="R328" i="155" s="1"/>
  <c r="R240" i="155" a="1"/>
  <c r="R240" i="155" s="1"/>
  <c r="S240" i="155" s="1"/>
  <c r="R264" i="155" a="1"/>
  <c r="R264" i="155" s="1"/>
  <c r="R202" i="155" a="1"/>
  <c r="R202" i="155" s="1"/>
  <c r="S202" i="155" s="1"/>
  <c r="R246" i="155" a="1"/>
  <c r="R246" i="155" s="1"/>
  <c r="S246" i="155" s="1"/>
  <c r="R254" i="155" a="1"/>
  <c r="R254" i="155" s="1"/>
  <c r="R239" i="155" a="1"/>
  <c r="R239" i="155" s="1"/>
  <c r="I200" i="154"/>
  <c r="R215" i="155" a="1"/>
  <c r="R215" i="155" s="1"/>
  <c r="I170" i="154"/>
  <c r="I110" i="155"/>
  <c r="R386" i="155" a="1"/>
  <c r="R386" i="155" s="1"/>
  <c r="R312" i="155" a="1"/>
  <c r="R312" i="155" s="1"/>
  <c r="S312" i="155" s="1"/>
  <c r="R124" i="155" a="1"/>
  <c r="R124" i="155" s="1"/>
  <c r="R277" i="155" a="1"/>
  <c r="R277" i="155" s="1"/>
  <c r="R393" i="155" a="1"/>
  <c r="R393" i="155" s="1"/>
  <c r="R185" i="155" a="1"/>
  <c r="R185" i="155" s="1"/>
  <c r="S186" i="155" s="1"/>
  <c r="G110" i="154"/>
  <c r="R294" i="155" a="1"/>
  <c r="R294" i="155" s="1"/>
  <c r="R285" i="155" a="1"/>
  <c r="R285" i="155" s="1"/>
  <c r="R136" i="155" a="1"/>
  <c r="R136" i="155" s="1"/>
  <c r="I130" i="154"/>
  <c r="R334" i="155" a="1"/>
  <c r="R334" i="155" s="1"/>
  <c r="R300" i="155" a="1"/>
  <c r="R300" i="155" s="1"/>
  <c r="R103" i="155" a="1"/>
  <c r="R103" i="155" s="1"/>
  <c r="R349" i="155" a="1"/>
  <c r="R349" i="155" s="1"/>
  <c r="R131" i="155" a="1"/>
  <c r="R131" i="155" s="1"/>
  <c r="R327" i="155" a="1"/>
  <c r="R327" i="155" s="1"/>
  <c r="R384" i="155" a="1"/>
  <c r="R384" i="155" s="1"/>
  <c r="R238" i="155" a="1"/>
  <c r="R238" i="155" s="1"/>
  <c r="G170" i="154"/>
  <c r="R320" i="155" a="1"/>
  <c r="R320" i="155" s="1"/>
  <c r="I110" i="154"/>
  <c r="R105" i="155" a="1"/>
  <c r="R105" i="155" s="1"/>
  <c r="R125" i="155" a="1"/>
  <c r="R125" i="155" s="1"/>
  <c r="R249" i="155" a="1"/>
  <c r="R249" i="155" s="1"/>
  <c r="R269" i="155" a="1"/>
  <c r="R269" i="155" s="1"/>
  <c r="R330" i="155" a="1"/>
  <c r="R330" i="155" s="1"/>
  <c r="R276" i="155" a="1"/>
  <c r="R276" i="155" s="1"/>
  <c r="R187" i="155" a="1"/>
  <c r="R187" i="155" s="1"/>
  <c r="G150" i="155"/>
  <c r="R150" i="155" a="1"/>
  <c r="R150" i="155" s="1"/>
  <c r="R326" i="155" a="1"/>
  <c r="R326" i="155" s="1"/>
  <c r="R253" i="155" a="1"/>
  <c r="R253" i="155" s="1"/>
  <c r="S254" i="155" s="1"/>
  <c r="R223" i="155" a="1"/>
  <c r="R223" i="155" s="1"/>
  <c r="R156" i="155" a="1"/>
  <c r="R156" i="155" s="1"/>
  <c r="R149" i="155" a="1"/>
  <c r="R149" i="155" s="1"/>
  <c r="R179" i="155" a="1"/>
  <c r="R179" i="155" s="1"/>
  <c r="R108" i="155" a="1"/>
  <c r="R108" i="155" s="1"/>
  <c r="R237" i="155" a="1"/>
  <c r="R237" i="155" s="1"/>
  <c r="S238" i="155" s="1"/>
  <c r="R137" i="155" a="1"/>
  <c r="R137" i="155" s="1"/>
  <c r="R120" i="155" a="1"/>
  <c r="R120" i="155" s="1"/>
  <c r="G120" i="155"/>
  <c r="R218" i="155" a="1"/>
  <c r="R218" i="155" s="1"/>
  <c r="R333" i="155" a="1"/>
  <c r="R333" i="155" s="1"/>
  <c r="R119" i="155" a="1"/>
  <c r="R119" i="155" s="1"/>
  <c r="R342" i="155" a="1"/>
  <c r="R342" i="155" s="1"/>
  <c r="S342" i="155" s="1"/>
  <c r="R168" i="155" a="1"/>
  <c r="R168" i="155" s="1"/>
  <c r="R339" i="155" a="1"/>
  <c r="R339" i="155" s="1"/>
  <c r="R169" i="155" a="1"/>
  <c r="R169" i="155" s="1"/>
  <c r="R167" i="155" a="1"/>
  <c r="R167" i="155" s="1"/>
  <c r="R262" i="155" a="1"/>
  <c r="R262" i="155" s="1"/>
  <c r="R368" i="155" a="1"/>
  <c r="R368" i="155" s="1"/>
  <c r="R270" i="155" a="1"/>
  <c r="R270" i="155" s="1"/>
  <c r="R174" i="155" a="1"/>
  <c r="R174" i="155" s="1"/>
  <c r="R206" i="155" a="1"/>
  <c r="R206" i="155" s="1"/>
  <c r="S206" i="155" s="1"/>
  <c r="I140" i="155"/>
  <c r="G400" i="154"/>
  <c r="R295" i="155" a="1"/>
  <c r="R295" i="155" s="1"/>
  <c r="S296" i="155" s="1"/>
  <c r="R142" i="155" a="1"/>
  <c r="R142" i="155" s="1"/>
  <c r="R324" i="155" a="1"/>
  <c r="R324" i="155" s="1"/>
  <c r="G110" i="155"/>
  <c r="R110" i="155" a="1"/>
  <c r="R110" i="155" s="1"/>
  <c r="R319" i="155" a="1"/>
  <c r="R319" i="155" s="1"/>
  <c r="S319" i="155" s="1"/>
  <c r="R226" i="155" a="1"/>
  <c r="R226" i="155" s="1"/>
  <c r="R354" i="155" a="1"/>
  <c r="R354" i="155" s="1"/>
  <c r="R133" i="155" a="1"/>
  <c r="R133" i="155" s="1"/>
  <c r="R101" i="155" a="1"/>
  <c r="R101" i="155" s="1"/>
  <c r="R230" i="155" a="1"/>
  <c r="R230" i="155" s="1"/>
  <c r="R341" i="155" a="1"/>
  <c r="R341" i="155" s="1"/>
  <c r="R118" i="155" a="1"/>
  <c r="R118" i="155" s="1"/>
  <c r="S118" i="155" s="1"/>
  <c r="I170" i="155"/>
  <c r="R220" i="155" a="1"/>
  <c r="R220" i="155" s="1"/>
  <c r="I200" i="155"/>
  <c r="R375" i="155" a="1"/>
  <c r="R375" i="155" s="1"/>
  <c r="R123" i="155" a="1"/>
  <c r="R123" i="155" s="1"/>
  <c r="R278" i="155" a="1"/>
  <c r="R278" i="155" s="1"/>
  <c r="R302" i="155" a="1"/>
  <c r="R302" i="155" s="1"/>
  <c r="R317" i="155" a="1"/>
  <c r="R317" i="155" s="1"/>
  <c r="R263" i="155" a="1"/>
  <c r="R263" i="155" s="1"/>
  <c r="S263" i="155" s="1"/>
  <c r="R288" i="155" a="1"/>
  <c r="R288" i="155" s="1"/>
  <c r="R132" i="155" a="1"/>
  <c r="R132" i="155" s="1"/>
  <c r="R261" i="155" a="1"/>
  <c r="R261" i="155" s="1"/>
  <c r="R153" i="155" a="1"/>
  <c r="R153" i="155" s="1"/>
  <c r="R355" i="155" a="1"/>
  <c r="R355" i="155" s="1"/>
  <c r="S356" i="155" s="1"/>
  <c r="R139" i="155" a="1"/>
  <c r="R139" i="155" s="1"/>
  <c r="R364" i="155" a="1"/>
  <c r="R364" i="155" s="1"/>
  <c r="R171" i="155" a="1"/>
  <c r="R171" i="155" s="1"/>
  <c r="R158" i="155" a="1"/>
  <c r="R158" i="155" s="1"/>
  <c r="R347" i="155" a="1"/>
  <c r="R347" i="155" s="1"/>
  <c r="S348" i="155" s="1"/>
  <c r="R116" i="155" a="1"/>
  <c r="R116" i="155" s="1"/>
  <c r="R385" i="155" a="1"/>
  <c r="R385" i="155" s="1"/>
  <c r="R383" i="155" a="1"/>
  <c r="R383" i="155" s="1"/>
  <c r="R358" i="155" a="1"/>
  <c r="R358" i="155" s="1"/>
  <c r="R178" i="155" a="1"/>
  <c r="R178" i="155" s="1"/>
  <c r="S179" i="155" s="1"/>
  <c r="R102" i="155" a="1"/>
  <c r="R102" i="155" s="1"/>
  <c r="S102" i="155" s="1"/>
  <c r="R219" i="155" a="1"/>
  <c r="R219" i="155" s="1"/>
  <c r="S219" i="155" s="1"/>
  <c r="R155" i="155" a="1"/>
  <c r="R155" i="155" s="1"/>
  <c r="R374" i="155" a="1"/>
  <c r="R374" i="155" s="1"/>
  <c r="R229" i="155" a="1"/>
  <c r="R229" i="155" s="1"/>
  <c r="R235" i="155" a="1"/>
  <c r="R235" i="155" s="1"/>
  <c r="R196" i="155" a="1"/>
  <c r="R196" i="155" s="1"/>
  <c r="S197" i="155" s="1"/>
  <c r="R306" i="155" a="1"/>
  <c r="R306" i="155" s="1"/>
  <c r="R400" i="155" a="1"/>
  <c r="R400" i="155" s="1"/>
  <c r="G400" i="155"/>
  <c r="R361" i="155" a="1"/>
  <c r="R361" i="155" s="1"/>
  <c r="S362" i="155" s="1"/>
  <c r="R247" i="155" a="1"/>
  <c r="R247" i="155" s="1"/>
  <c r="S247" i="155" s="1"/>
  <c r="R323" i="155" a="1"/>
  <c r="R323" i="155" s="1"/>
  <c r="R267" i="155" a="1"/>
  <c r="R267" i="155" s="1"/>
  <c r="I130" i="155"/>
  <c r="R301" i="155" a="1"/>
  <c r="R301" i="155" s="1"/>
  <c r="S301" i="155" s="1"/>
  <c r="R376" i="155" a="1"/>
  <c r="R376" i="155" s="1"/>
  <c r="R266" i="155" a="1"/>
  <c r="R266" i="155" s="1"/>
  <c r="S267" i="155" s="1"/>
  <c r="R345" i="155" a="1"/>
  <c r="R345" i="155" s="1"/>
  <c r="R173" i="155" a="1"/>
  <c r="R173" i="155" s="1"/>
  <c r="R366" i="155" a="1"/>
  <c r="R366" i="155" s="1"/>
  <c r="R152" i="155" a="1"/>
  <c r="R152" i="155" s="1"/>
  <c r="S153" i="155" s="1"/>
  <c r="R145" i="155" a="1"/>
  <c r="R145" i="155" s="1"/>
  <c r="R203" i="155" a="1"/>
  <c r="R203" i="155" s="1"/>
  <c r="R357" i="155" a="1"/>
  <c r="R357" i="155" s="1"/>
  <c r="R225" i="155" a="1"/>
  <c r="R225" i="155" s="1"/>
  <c r="S225" i="155" s="1"/>
  <c r="R365" i="155" a="1"/>
  <c r="R365" i="155" s="1"/>
  <c r="S366" i="155" s="1"/>
  <c r="R154" i="155" a="1"/>
  <c r="R154" i="155" s="1"/>
  <c r="S154" i="155" s="1"/>
  <c r="R182" i="155" a="1"/>
  <c r="R182" i="155" s="1"/>
  <c r="R257" i="155" a="1"/>
  <c r="R257" i="155" s="1"/>
  <c r="R360" i="155" a="1"/>
  <c r="R360" i="155" s="1"/>
  <c r="R138" i="155" a="1"/>
  <c r="R138" i="155" s="1"/>
  <c r="S139" i="155" s="1"/>
  <c r="R305" i="155" a="1"/>
  <c r="R305" i="155" s="1"/>
  <c r="R287" i="155" a="1"/>
  <c r="R287" i="155" s="1"/>
  <c r="S287" i="155" s="1"/>
  <c r="R189" i="155" a="1"/>
  <c r="R189" i="155" s="1"/>
  <c r="R144" i="155" a="1"/>
  <c r="R144" i="155" s="1"/>
  <c r="R380" i="155" a="1"/>
  <c r="R380" i="155" s="1"/>
  <c r="R211" i="155" a="1"/>
  <c r="R211" i="155" s="1"/>
  <c r="R298" i="155" a="1"/>
  <c r="R298" i="155" s="1"/>
  <c r="R346" i="155" a="1"/>
  <c r="R346" i="155" s="1"/>
  <c r="R399" i="155" a="1"/>
  <c r="R399" i="155" s="1"/>
  <c r="R337" i="155" a="1"/>
  <c r="R337" i="155" s="1"/>
  <c r="R282" i="155" a="1"/>
  <c r="R282" i="155" s="1"/>
  <c r="S282" i="155" s="1"/>
  <c r="R214" i="155" a="1"/>
  <c r="R214" i="155" s="1"/>
  <c r="S214" i="155" s="1"/>
  <c r="R391" i="155" a="1"/>
  <c r="R391" i="155" s="1"/>
  <c r="R350" i="155" a="1"/>
  <c r="R350" i="155" s="1"/>
  <c r="R148" i="155" a="1"/>
  <c r="R148" i="155" s="1"/>
  <c r="R398" i="155" a="1"/>
  <c r="R398" i="155" s="1"/>
  <c r="R135" i="155" a="1"/>
  <c r="R135" i="155" s="1"/>
  <c r="R217" i="155" a="1"/>
  <c r="R217" i="155" s="1"/>
  <c r="R166" i="155" a="1"/>
  <c r="R166" i="155" s="1"/>
  <c r="R258" i="155" a="1"/>
  <c r="R258" i="155" s="1"/>
  <c r="S258" i="155" s="1"/>
  <c r="R127" i="155" a="1"/>
  <c r="R127" i="155" s="1"/>
  <c r="R113" i="155" a="1"/>
  <c r="R113" i="155" s="1"/>
  <c r="R373" i="155" a="1"/>
  <c r="R373" i="155" s="1"/>
  <c r="R291" i="155" a="1"/>
  <c r="R291" i="155" s="1"/>
  <c r="R198" i="155" a="1"/>
  <c r="R198" i="155" s="1"/>
  <c r="S198" i="155" s="1"/>
  <c r="R280" i="155" a="1"/>
  <c r="R280" i="155" s="1"/>
  <c r="R109" i="155" a="1"/>
  <c r="R109" i="155" s="1"/>
  <c r="R157" i="155" a="1"/>
  <c r="R157" i="155" s="1"/>
  <c r="S157" i="155" s="1"/>
  <c r="R369" i="155" a="1"/>
  <c r="R369" i="155" s="1"/>
  <c r="R193" i="155" a="1"/>
  <c r="R193" i="155" s="1"/>
  <c r="R303" i="155" a="1"/>
  <c r="R303" i="155" s="1"/>
  <c r="S303" i="155" s="1"/>
  <c r="R378" i="155" a="1"/>
  <c r="R378" i="155" s="1"/>
  <c r="S378" i="155" s="1"/>
  <c r="R141" i="155" a="1"/>
  <c r="R141" i="155" s="1"/>
  <c r="S142" i="155" s="1"/>
  <c r="R241" i="155" a="1"/>
  <c r="R241" i="155" s="1"/>
  <c r="R122" i="155" a="1"/>
  <c r="R122" i="155" s="1"/>
  <c r="R199" i="155" a="1"/>
  <c r="R199" i="155" s="1"/>
  <c r="R176" i="155" a="1"/>
  <c r="R176" i="155" s="1"/>
  <c r="R390" i="155" a="1"/>
  <c r="R390" i="155" s="1"/>
  <c r="S390" i="155" s="1"/>
  <c r="R228" i="155" a="1"/>
  <c r="R228" i="155" s="1"/>
  <c r="S229" i="155" s="1"/>
  <c r="R363" i="155" a="1"/>
  <c r="R363" i="155" s="1"/>
  <c r="S363" i="155" s="1"/>
  <c r="R172" i="155" a="1"/>
  <c r="R172" i="155" s="1"/>
  <c r="S172" i="155" s="1"/>
  <c r="R184" i="155" a="1"/>
  <c r="R184" i="155" s="1"/>
  <c r="R359" i="155" a="1"/>
  <c r="R359" i="155" s="1"/>
  <c r="S359" i="155" s="1"/>
  <c r="R147" i="155" a="1"/>
  <c r="R147" i="155" s="1"/>
  <c r="S148" i="155" s="1"/>
  <c r="R126" i="155" a="1"/>
  <c r="R126" i="155" s="1"/>
  <c r="R114" i="155" a="1"/>
  <c r="R114" i="155" s="1"/>
  <c r="R271" i="155" a="1"/>
  <c r="R271" i="155" s="1"/>
  <c r="S271" i="155" s="1"/>
  <c r="R222" i="155" a="1"/>
  <c r="R222" i="155" s="1"/>
  <c r="S222" i="155" s="1"/>
  <c r="R272" i="155" a="1"/>
  <c r="R272" i="155" s="1"/>
  <c r="R177" i="155" a="1"/>
  <c r="R177" i="155" s="1"/>
  <c r="S177" i="155" s="1"/>
  <c r="R143" i="155" a="1"/>
  <c r="R143" i="155" s="1"/>
  <c r="S143" i="155" s="1"/>
  <c r="R134" i="155" a="1"/>
  <c r="R134" i="155" s="1"/>
  <c r="S134" i="155" s="1"/>
  <c r="R231" i="155" a="1"/>
  <c r="R231" i="155" s="1"/>
  <c r="R381" i="155" a="1"/>
  <c r="R381" i="155" s="1"/>
  <c r="S381" i="155" s="1"/>
  <c r="R234" i="155" a="1"/>
  <c r="R234" i="155" s="1"/>
  <c r="S235" i="155" s="1"/>
  <c r="R107" i="155" a="1"/>
  <c r="R107" i="155" s="1"/>
  <c r="S108" i="155" s="1"/>
  <c r="G100" i="155"/>
  <c r="R100" i="155" a="1"/>
  <c r="R100" i="155" s="1"/>
  <c r="S101" i="155" s="1"/>
  <c r="R252" i="155" a="1"/>
  <c r="R252" i="155" s="1"/>
  <c r="R315" i="155" a="1"/>
  <c r="R315" i="155" s="1"/>
  <c r="R208" i="155" a="1"/>
  <c r="R208" i="155" s="1"/>
  <c r="R367" i="155" a="1"/>
  <c r="R367" i="155" s="1"/>
  <c r="S368" i="155" s="1"/>
  <c r="R194" i="155" a="1"/>
  <c r="R194" i="155" s="1"/>
  <c r="R210" i="155" a="1"/>
  <c r="R210" i="155" s="1"/>
  <c r="S211" i="155" s="1"/>
  <c r="G200" i="154"/>
  <c r="R340" i="155" a="1"/>
  <c r="R340" i="155" s="1"/>
  <c r="R309" i="155" a="1"/>
  <c r="R309" i="155" s="1"/>
  <c r="S309" i="155" s="1"/>
  <c r="R259" i="155" a="1"/>
  <c r="R259" i="155" s="1"/>
  <c r="S259" i="155" s="1"/>
  <c r="G130" i="155"/>
  <c r="R130" i="155" a="1"/>
  <c r="R130" i="155" s="1"/>
  <c r="R232" i="155" a="1"/>
  <c r="R232" i="155" s="1"/>
  <c r="S232" i="155" s="1"/>
  <c r="R325" i="155" a="1"/>
  <c r="R325" i="155" s="1"/>
  <c r="R335" i="155" a="1"/>
  <c r="R335" i="155" s="1"/>
  <c r="S336" i="155" s="1"/>
  <c r="G170" i="155"/>
  <c r="R170" i="155" a="1"/>
  <c r="R170" i="155" s="1"/>
  <c r="S170" i="155" s="1"/>
  <c r="R382" i="155" a="1"/>
  <c r="R382" i="155" s="1"/>
  <c r="S382" i="155" s="1"/>
  <c r="R396" i="155" a="1"/>
  <c r="R396" i="155" s="1"/>
  <c r="R329" i="155" a="1"/>
  <c r="R329" i="155" s="1"/>
  <c r="R392" i="155" a="1"/>
  <c r="R392" i="155" s="1"/>
  <c r="S392" i="155" s="1"/>
  <c r="R163" i="155" a="1"/>
  <c r="R163" i="155" s="1"/>
  <c r="R181" i="155" a="1"/>
  <c r="R181" i="155" s="1"/>
  <c r="S182" i="155" s="1"/>
  <c r="R183" i="155" a="1"/>
  <c r="R183" i="155" s="1"/>
  <c r="S183" i="155" s="1"/>
  <c r="G130" i="154"/>
  <c r="R112" i="155" a="1"/>
  <c r="R112" i="155" s="1"/>
  <c r="S113" i="155" s="1"/>
  <c r="R146" i="155" a="1"/>
  <c r="R146" i="155" s="1"/>
  <c r="R377" i="155" a="1"/>
  <c r="R377" i="155" s="1"/>
  <c r="R256" i="155" a="1"/>
  <c r="R256" i="155" s="1"/>
  <c r="S257" i="155" s="1"/>
  <c r="R331" i="155" a="1"/>
  <c r="R331" i="155" s="1"/>
  <c r="S331" i="155" s="1"/>
  <c r="R175" i="155" a="1"/>
  <c r="R175" i="155" s="1"/>
  <c r="R297" i="155" a="1"/>
  <c r="R297" i="155" s="1"/>
  <c r="S297" i="155" s="1"/>
  <c r="R293" i="155" a="1"/>
  <c r="R293" i="155" s="1"/>
  <c r="R195" i="155" a="1"/>
  <c r="R195" i="155" s="1"/>
  <c r="S195" i="155" s="1"/>
  <c r="R299" i="155" a="1"/>
  <c r="R299" i="155" s="1"/>
  <c r="R344" i="155" a="1"/>
  <c r="R344" i="155" s="1"/>
  <c r="R160" i="155" a="1"/>
  <c r="R160" i="155" s="1"/>
  <c r="G140" i="155"/>
  <c r="R140" i="155" a="1"/>
  <c r="R140" i="155" s="1"/>
  <c r="R292" i="155" a="1"/>
  <c r="R292" i="155" s="1"/>
  <c r="R283" i="155" a="1"/>
  <c r="R283" i="155" s="1"/>
  <c r="S283" i="155" s="1"/>
  <c r="R165" i="155" a="1"/>
  <c r="R165" i="155" s="1"/>
  <c r="R227" i="155" a="1"/>
  <c r="R227" i="155" s="1"/>
  <c r="R251" i="155" a="1"/>
  <c r="R251" i="155" s="1"/>
  <c r="R372" i="155" a="1"/>
  <c r="R372" i="155" s="1"/>
  <c r="R260" i="155" a="1"/>
  <c r="R260" i="155" s="1"/>
  <c r="R255" i="155" a="1"/>
  <c r="R255" i="155" s="1"/>
  <c r="S255" i="155" s="1"/>
  <c r="G120" i="154"/>
  <c r="R250" i="155" a="1"/>
  <c r="R250" i="155" s="1"/>
  <c r="S250" i="155" s="1"/>
  <c r="R273" i="155" a="1"/>
  <c r="R273" i="155" s="1"/>
  <c r="R192" i="155" a="1"/>
  <c r="R192" i="155" s="1"/>
  <c r="R161" i="155" a="1"/>
  <c r="R161" i="155" s="1"/>
  <c r="I120" i="155"/>
  <c r="R180" i="155" a="1"/>
  <c r="R180" i="155" s="1"/>
  <c r="S180" i="155" s="1"/>
  <c r="R395" i="155" a="1"/>
  <c r="R395" i="155" s="1"/>
  <c r="S395" i="155" s="1"/>
  <c r="R188" i="155" a="1"/>
  <c r="R188" i="155" s="1"/>
  <c r="R106" i="155" a="1"/>
  <c r="R106" i="155" s="1"/>
  <c r="R216" i="155" a="1"/>
  <c r="R216" i="155" s="1"/>
  <c r="R316" i="155" a="1"/>
  <c r="R316" i="155" s="1"/>
  <c r="R209" i="155" a="1"/>
  <c r="R209" i="155" s="1"/>
  <c r="S209" i="155" s="1"/>
  <c r="R104" i="155" a="1"/>
  <c r="R104" i="155" s="1"/>
  <c r="R343" i="155" a="1"/>
  <c r="R343" i="155" s="1"/>
  <c r="R310" i="155" a="1"/>
  <c r="R310" i="155" s="1"/>
  <c r="S311" i="155" s="1"/>
  <c r="S146" i="155"/>
  <c r="S370" i="155"/>
  <c r="S127" i="155"/>
  <c r="S124" i="155"/>
  <c r="S128" i="155"/>
  <c r="S278" i="155"/>
  <c r="AN57" i="153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138" i="153"/>
  <c r="E274" i="153"/>
  <c r="E160" i="153"/>
  <c r="E273" i="153"/>
  <c r="E264" i="153"/>
  <c r="E183" i="153"/>
  <c r="E328" i="153"/>
  <c r="E182" i="153"/>
  <c r="E340" i="153"/>
  <c r="E141" i="153"/>
  <c r="E226" i="153"/>
  <c r="E123" i="153"/>
  <c r="E199" i="153"/>
  <c r="E360" i="153"/>
  <c r="E393" i="153"/>
  <c r="E225" i="153"/>
  <c r="E309" i="153"/>
  <c r="E288" i="153"/>
  <c r="E312" i="153"/>
  <c r="E240" i="153"/>
  <c r="E210" i="153"/>
  <c r="E254" i="153"/>
  <c r="E292" i="153"/>
  <c r="E265" i="153"/>
  <c r="E250" i="153"/>
  <c r="E356" i="153"/>
  <c r="E145" i="153"/>
  <c r="E338" i="153"/>
  <c r="E275" i="153"/>
  <c r="E258" i="153"/>
  <c r="E239" i="153"/>
  <c r="E223" i="153"/>
  <c r="E155" i="153"/>
  <c r="E317" i="153"/>
  <c r="E334" i="153"/>
  <c r="E246" i="153"/>
  <c r="E229" i="153"/>
  <c r="E387" i="153"/>
  <c r="E373" i="153"/>
  <c r="E198" i="153"/>
  <c r="E303" i="153"/>
  <c r="E201" i="153"/>
  <c r="E279" i="153"/>
  <c r="E290" i="153"/>
  <c r="E392" i="153"/>
  <c r="E189" i="153"/>
  <c r="E207" i="153"/>
  <c r="E232" i="153"/>
  <c r="E176" i="153"/>
  <c r="E132" i="153"/>
  <c r="E318" i="153"/>
  <c r="E355" i="153"/>
  <c r="E370" i="153"/>
  <c r="E161" i="153"/>
  <c r="E323" i="153"/>
  <c r="E376" i="153"/>
  <c r="E286" i="153"/>
  <c r="E154" i="153"/>
  <c r="E386" i="153"/>
  <c r="E139" i="153"/>
  <c r="E271" i="153"/>
  <c r="E249" i="153"/>
  <c r="E133" i="153"/>
  <c r="E184" i="153"/>
  <c r="E400" i="153"/>
  <c r="E260" i="153"/>
  <c r="E314" i="153"/>
  <c r="E153" i="153"/>
  <c r="E120" i="153"/>
  <c r="E395" i="153"/>
  <c r="E321" i="153"/>
  <c r="E331" i="153"/>
  <c r="E127" i="153"/>
  <c r="E305" i="153"/>
  <c r="E113" i="153"/>
  <c r="E266" i="153"/>
  <c r="E205" i="153"/>
  <c r="E380" i="153"/>
  <c r="E102" i="153"/>
  <c r="E180" i="153"/>
  <c r="E368" i="153"/>
  <c r="E238" i="153"/>
  <c r="E129" i="153"/>
  <c r="E300" i="153"/>
  <c r="E297" i="153"/>
  <c r="E137" i="153"/>
  <c r="E121" i="153"/>
  <c r="E299" i="153"/>
  <c r="E235" i="153"/>
  <c r="E162" i="153"/>
  <c r="E344" i="153"/>
  <c r="E335" i="153"/>
  <c r="E294" i="153"/>
  <c r="E124" i="153"/>
  <c r="E101" i="153"/>
  <c r="E358" i="153"/>
  <c r="E339" i="153"/>
  <c r="E354" i="153"/>
  <c r="E295" i="153"/>
  <c r="E347" i="153"/>
  <c r="E217" i="153"/>
  <c r="E130" i="153"/>
  <c r="E173" i="153"/>
  <c r="E100" i="153"/>
  <c r="E382" i="153"/>
  <c r="E156" i="153"/>
  <c r="E188" i="153"/>
  <c r="E152" i="153"/>
  <c r="E332" i="153"/>
  <c r="E251" i="153"/>
  <c r="E319" i="153"/>
  <c r="E326" i="153"/>
  <c r="E241" i="153"/>
  <c r="E311" i="153"/>
  <c r="E242" i="153"/>
  <c r="E125" i="153"/>
  <c r="E146" i="153"/>
  <c r="E287" i="153"/>
  <c r="E200" i="153"/>
  <c r="E359" i="153"/>
  <c r="E276" i="153"/>
  <c r="E107" i="153"/>
  <c r="E168" i="153"/>
  <c r="E296" i="153"/>
  <c r="E322" i="153"/>
  <c r="E209" i="153"/>
  <c r="E165" i="153"/>
  <c r="E367" i="153"/>
  <c r="E119" i="153"/>
  <c r="E320" i="153"/>
  <c r="E366" i="153"/>
  <c r="E158" i="153"/>
  <c r="E228" i="153"/>
  <c r="E298" i="153"/>
  <c r="E278" i="153"/>
  <c r="E143" i="153"/>
  <c r="E196" i="153"/>
  <c r="E362" i="153"/>
  <c r="E177" i="153"/>
  <c r="E282" i="153"/>
  <c r="E352" i="153"/>
  <c r="E342" i="153"/>
  <c r="E306" i="153"/>
  <c r="E256" i="153"/>
  <c r="E236" i="153"/>
  <c r="E233" i="153"/>
  <c r="E221" i="153"/>
  <c r="E262" i="153"/>
  <c r="E389" i="153"/>
  <c r="E336" i="153"/>
  <c r="E337" i="153"/>
  <c r="E142" i="153"/>
  <c r="E220" i="153"/>
  <c r="E363" i="153"/>
  <c r="E215" i="153"/>
  <c r="E191" i="153"/>
  <c r="E213" i="153"/>
  <c r="E364" i="153"/>
  <c r="E291" i="153"/>
  <c r="E151" i="153"/>
  <c r="E105" i="153"/>
  <c r="E270" i="153"/>
  <c r="E397" i="153"/>
  <c r="E329" i="153"/>
  <c r="E230" i="153"/>
  <c r="E285" i="153"/>
  <c r="E194" i="153"/>
  <c r="E289" i="153"/>
  <c r="E398" i="153"/>
  <c r="E118" i="153"/>
  <c r="E391" i="153"/>
  <c r="E187" i="153"/>
  <c r="E349" i="153"/>
  <c r="E216" i="153"/>
  <c r="E315" i="153"/>
  <c r="E268" i="153"/>
  <c r="E195" i="153"/>
  <c r="E280" i="153"/>
  <c r="E227" i="153"/>
  <c r="E224" i="153"/>
  <c r="E284" i="153"/>
  <c r="E106" i="153"/>
  <c r="E346" i="153"/>
  <c r="E371" i="153"/>
  <c r="E304" i="153"/>
  <c r="E109" i="153"/>
  <c r="E167" i="153"/>
  <c r="E111" i="153"/>
  <c r="E193" i="153"/>
  <c r="E185" i="153"/>
  <c r="E255" i="153"/>
  <c r="E374" i="153"/>
  <c r="E164" i="153"/>
  <c r="E330" i="153"/>
  <c r="E159" i="153"/>
  <c r="E302" i="153"/>
  <c r="E248" i="153"/>
  <c r="E327" i="153"/>
  <c r="E172" i="153"/>
  <c r="E186" i="153"/>
  <c r="E325" i="153"/>
  <c r="E110" i="153"/>
  <c r="E174" i="153"/>
  <c r="E206" i="153"/>
  <c r="E263" i="153"/>
  <c r="E353" i="153"/>
  <c r="E222" i="153"/>
  <c r="E128" i="153"/>
  <c r="E218" i="153"/>
  <c r="E197" i="153"/>
  <c r="E313" i="153"/>
  <c r="E234" i="153"/>
  <c r="E333" i="153"/>
  <c r="E204" i="153"/>
  <c r="E308" i="153"/>
  <c r="E247" i="153"/>
  <c r="E372" i="153"/>
  <c r="E388" i="153"/>
  <c r="E144" i="153"/>
  <c r="E379" i="153"/>
  <c r="E140" i="153"/>
  <c r="E192" i="153"/>
  <c r="E345" i="153"/>
  <c r="E293" i="153"/>
  <c r="E175" i="153"/>
  <c r="E324" i="153"/>
  <c r="E267" i="153"/>
  <c r="E350" i="153"/>
  <c r="E169" i="153"/>
  <c r="E343" i="153"/>
  <c r="E361" i="153"/>
  <c r="E259" i="153"/>
  <c r="E272" i="153"/>
  <c r="E390" i="153"/>
  <c r="E277" i="153"/>
  <c r="E211" i="153"/>
  <c r="E181" i="153"/>
  <c r="E243" i="153"/>
  <c r="E377" i="153"/>
  <c r="E149" i="153"/>
  <c r="E157" i="153"/>
  <c r="E131" i="153"/>
  <c r="E381" i="153"/>
  <c r="E253" i="153"/>
  <c r="E261" i="153"/>
  <c r="E301" i="153"/>
  <c r="E170" i="153"/>
  <c r="E307" i="153"/>
  <c r="E202" i="153"/>
  <c r="E115" i="153"/>
  <c r="E365" i="153"/>
  <c r="E122" i="153"/>
  <c r="E394" i="153"/>
  <c r="E375" i="153"/>
  <c r="E178" i="153"/>
  <c r="E219" i="153"/>
  <c r="E369" i="153"/>
  <c r="E163" i="153"/>
  <c r="E357" i="153"/>
  <c r="E150" i="153"/>
  <c r="E171" i="153"/>
  <c r="E103" i="153"/>
  <c r="E214" i="153"/>
  <c r="E112" i="153"/>
  <c r="E148" i="153"/>
  <c r="E114" i="153"/>
  <c r="E378" i="153"/>
  <c r="E231" i="153"/>
  <c r="E212" i="153"/>
  <c r="E190" i="153"/>
  <c r="E396" i="153"/>
  <c r="E147" i="153"/>
  <c r="E283" i="153"/>
  <c r="E399" i="153"/>
  <c r="E385" i="153"/>
  <c r="E208" i="153"/>
  <c r="E104" i="153"/>
  <c r="E136" i="153"/>
  <c r="E351" i="153"/>
  <c r="E244" i="153"/>
  <c r="E257" i="153"/>
  <c r="E179" i="153"/>
  <c r="E237" i="153"/>
  <c r="E126" i="153"/>
  <c r="E166" i="153"/>
  <c r="E281" i="153"/>
  <c r="E348" i="153"/>
  <c r="E108" i="153"/>
  <c r="E269" i="153"/>
  <c r="E383" i="153"/>
  <c r="E245" i="153"/>
  <c r="E134" i="153"/>
  <c r="E316" i="153"/>
  <c r="E203" i="153"/>
  <c r="E116" i="153"/>
  <c r="E135" i="153"/>
  <c r="E117" i="153"/>
  <c r="E341" i="153"/>
  <c r="E310" i="153"/>
  <c r="E252" i="153"/>
  <c r="E384" i="153"/>
  <c r="S114" i="155" l="1"/>
  <c r="T114" i="155" s="1"/>
  <c r="S317" i="155"/>
  <c r="S329" i="155"/>
  <c r="S234" i="155"/>
  <c r="T235" i="155" s="1"/>
  <c r="S279" i="155"/>
  <c r="S304" i="155"/>
  <c r="T304" i="155" s="1"/>
  <c r="S239" i="155"/>
  <c r="T240" i="155" s="1"/>
  <c r="S152" i="155"/>
  <c r="T153" i="155" s="1"/>
  <c r="S276" i="155"/>
  <c r="S231" i="155"/>
  <c r="T232" i="155" s="1"/>
  <c r="S321" i="155"/>
  <c r="S104" i="155"/>
  <c r="S334" i="155"/>
  <c r="S367" i="155"/>
  <c r="T367" i="155" s="1"/>
  <c r="S120" i="155"/>
  <c r="S270" i="155"/>
  <c r="T271" i="155" s="1"/>
  <c r="S343" i="155"/>
  <c r="T343" i="155" s="1"/>
  <c r="S252" i="155"/>
  <c r="S345" i="155"/>
  <c r="S354" i="155"/>
  <c r="S386" i="155"/>
  <c r="S161" i="155"/>
  <c r="S393" i="155"/>
  <c r="T394" i="155" s="1"/>
  <c r="S212" i="155"/>
  <c r="T212" i="155" s="1"/>
  <c r="S193" i="155"/>
  <c r="S324" i="155"/>
  <c r="S298" i="155"/>
  <c r="T298" i="155" s="1"/>
  <c r="S346" i="155"/>
  <c r="S373" i="155"/>
  <c r="S285" i="155"/>
  <c r="S160" i="155"/>
  <c r="S339" i="155"/>
  <c r="S264" i="155"/>
  <c r="T264" i="155" s="1"/>
  <c r="S115" i="155"/>
  <c r="T115" i="155" s="1"/>
  <c r="S162" i="155"/>
  <c r="S109" i="155"/>
  <c r="T109" i="155" s="1"/>
  <c r="S140" i="155"/>
  <c r="T140" i="155" s="1"/>
  <c r="S358" i="155"/>
  <c r="T359" i="155" s="1"/>
  <c r="S151" i="155"/>
  <c r="S163" i="155"/>
  <c r="S216" i="155"/>
  <c r="S316" i="155"/>
  <c r="T317" i="155" s="1"/>
  <c r="S144" i="155"/>
  <c r="T144" i="155" s="1"/>
  <c r="S174" i="155"/>
  <c r="S374" i="155"/>
  <c r="S117" i="155"/>
  <c r="T118" i="155" s="1"/>
  <c r="S261" i="155"/>
  <c r="S167" i="155"/>
  <c r="S223" i="155"/>
  <c r="T223" i="155" s="1"/>
  <c r="S385" i="155"/>
  <c r="S136" i="155"/>
  <c r="S268" i="155"/>
  <c r="S333" i="155"/>
  <c r="S208" i="155"/>
  <c r="T209" i="155" s="1"/>
  <c r="S121" i="155"/>
  <c r="S111" i="155"/>
  <c r="S291" i="155"/>
  <c r="S332" i="155"/>
  <c r="T332" i="155" s="1"/>
  <c r="S326" i="155"/>
  <c r="S286" i="155"/>
  <c r="S210" i="155"/>
  <c r="T211" i="155" s="1"/>
  <c r="S175" i="155"/>
  <c r="S135" i="155"/>
  <c r="S399" i="155"/>
  <c r="S305" i="155"/>
  <c r="S377" i="155"/>
  <c r="T378" i="155" s="1"/>
  <c r="S400" i="155"/>
  <c r="S350" i="155"/>
  <c r="M101" i="154"/>
  <c r="S323" i="155"/>
  <c r="S192" i="155"/>
  <c r="S314" i="155"/>
  <c r="S290" i="155"/>
  <c r="S224" i="155"/>
  <c r="T225" i="155" s="1"/>
  <c r="S228" i="155"/>
  <c r="T229" i="155" s="1"/>
  <c r="S299" i="155"/>
  <c r="S320" i="155"/>
  <c r="T320" i="155" s="1"/>
  <c r="S380" i="155"/>
  <c r="T381" i="155" s="1"/>
  <c r="S190" i="155"/>
  <c r="S110" i="155"/>
  <c r="S251" i="155"/>
  <c r="T251" i="155" s="1"/>
  <c r="S230" i="155"/>
  <c r="T231" i="155" s="1"/>
  <c r="S253" i="155"/>
  <c r="S387" i="155"/>
  <c r="S243" i="155"/>
  <c r="S344" i="155"/>
  <c r="S328" i="155"/>
  <c r="T329" i="155" s="1"/>
  <c r="T143" i="155"/>
  <c r="S171" i="155"/>
  <c r="T171" i="155" s="1"/>
  <c r="S169" i="155"/>
  <c r="T170" i="155" s="1"/>
  <c r="S106" i="155"/>
  <c r="S215" i="155"/>
  <c r="T215" i="155" s="1"/>
  <c r="S284" i="155"/>
  <c r="S384" i="155"/>
  <c r="S158" i="155"/>
  <c r="T158" i="155" s="1"/>
  <c r="S266" i="155"/>
  <c r="S273" i="155"/>
  <c r="S313" i="155"/>
  <c r="T313" i="155" s="1"/>
  <c r="S237" i="155"/>
  <c r="T238" i="155" s="1"/>
  <c r="S347" i="155"/>
  <c r="T348" i="155" s="1"/>
  <c r="S107" i="155"/>
  <c r="T108" i="155" s="1"/>
  <c r="S375" i="155"/>
  <c r="S145" i="155"/>
  <c r="T146" i="155" s="1"/>
  <c r="K101" i="154"/>
  <c r="K101" i="155"/>
  <c r="S242" i="155"/>
  <c r="M101" i="155"/>
  <c r="S200" i="155"/>
  <c r="S360" i="155"/>
  <c r="T360" i="155" s="1"/>
  <c r="S249" i="155"/>
  <c r="T250" i="155" s="1"/>
  <c r="S355" i="155"/>
  <c r="S353" i="155"/>
  <c r="S388" i="155"/>
  <c r="S203" i="155"/>
  <c r="T203" i="155" s="1"/>
  <c r="S365" i="155"/>
  <c r="T366" i="155" s="1"/>
  <c r="S130" i="155"/>
  <c r="T130" i="155" s="1"/>
  <c r="S269" i="155"/>
  <c r="S364" i="155"/>
  <c r="T364" i="155" s="1"/>
  <c r="S318" i="155"/>
  <c r="T319" i="155" s="1"/>
  <c r="S391" i="155"/>
  <c r="T391" i="155" s="1"/>
  <c r="S280" i="155"/>
  <c r="S281" i="155"/>
  <c r="T282" i="155" s="1"/>
  <c r="S220" i="155"/>
  <c r="T220" i="155" s="1"/>
  <c r="S221" i="155"/>
  <c r="S131" i="155"/>
  <c r="S132" i="155"/>
  <c r="S244" i="155"/>
  <c r="S245" i="155"/>
  <c r="T246" i="155" s="1"/>
  <c r="T102" i="155"/>
  <c r="S201" i="155"/>
  <c r="S116" i="155"/>
  <c r="S265" i="155"/>
  <c r="S218" i="155"/>
  <c r="T219" i="155" s="1"/>
  <c r="S217" i="155"/>
  <c r="S138" i="155"/>
  <c r="T139" i="155" s="1"/>
  <c r="S137" i="155"/>
  <c r="S397" i="155"/>
  <c r="S398" i="155"/>
  <c r="S371" i="155"/>
  <c r="T371" i="155" s="1"/>
  <c r="S372" i="155"/>
  <c r="S351" i="155"/>
  <c r="S352" i="155"/>
  <c r="S204" i="155"/>
  <c r="S205" i="155"/>
  <c r="T206" i="155" s="1"/>
  <c r="S188" i="155"/>
  <c r="S189" i="155"/>
  <c r="S227" i="155"/>
  <c r="S226" i="155"/>
  <c r="T226" i="155" s="1"/>
  <c r="S126" i="155"/>
  <c r="T127" i="155" s="1"/>
  <c r="S125" i="155"/>
  <c r="S178" i="155"/>
  <c r="T179" i="155" s="1"/>
  <c r="S248" i="155"/>
  <c r="S337" i="155"/>
  <c r="T337" i="155" s="1"/>
  <c r="S338" i="155"/>
  <c r="S294" i="155"/>
  <c r="S295" i="155"/>
  <c r="T296" i="155" s="1"/>
  <c r="S241" i="155"/>
  <c r="T241" i="155" s="1"/>
  <c r="S292" i="155"/>
  <c r="S293" i="155"/>
  <c r="S340" i="155"/>
  <c r="S341" i="155"/>
  <c r="T342" i="155" s="1"/>
  <c r="S184" i="155"/>
  <c r="S288" i="155"/>
  <c r="T288" i="155" s="1"/>
  <c r="S256" i="155"/>
  <c r="T257" i="155" s="1"/>
  <c r="S191" i="155"/>
  <c r="S335" i="155"/>
  <c r="T336" i="155" s="1"/>
  <c r="S150" i="155"/>
  <c r="S141" i="155"/>
  <c r="S349" i="155"/>
  <c r="T349" i="155" s="1"/>
  <c r="S165" i="155"/>
  <c r="S199" i="155"/>
  <c r="S274" i="155"/>
  <c r="S310" i="155"/>
  <c r="T311" i="155" s="1"/>
  <c r="S155" i="155"/>
  <c r="S181" i="155"/>
  <c r="T181" i="155" s="1"/>
  <c r="S105" i="155"/>
  <c r="S315" i="155"/>
  <c r="S122" i="155"/>
  <c r="S361" i="155"/>
  <c r="T362" i="155" s="1"/>
  <c r="S133" i="155"/>
  <c r="T134" i="155" s="1"/>
  <c r="S327" i="155"/>
  <c r="S289" i="155"/>
  <c r="S396" i="155"/>
  <c r="T396" i="155" s="1"/>
  <c r="S103" i="155"/>
  <c r="T103" i="155" s="1"/>
  <c r="S260" i="155"/>
  <c r="T260" i="155" s="1"/>
  <c r="S357" i="155"/>
  <c r="S173" i="155"/>
  <c r="T173" i="155" s="1"/>
  <c r="S376" i="155"/>
  <c r="S207" i="155"/>
  <c r="T207" i="155" s="1"/>
  <c r="S302" i="155"/>
  <c r="T302" i="155" s="1"/>
  <c r="S119" i="155"/>
  <c r="T120" i="155" s="1"/>
  <c r="S300" i="155"/>
  <c r="T301" i="155" s="1"/>
  <c r="S236" i="155"/>
  <c r="T236" i="155" s="1"/>
  <c r="S383" i="155"/>
  <c r="T383" i="155" s="1"/>
  <c r="S147" i="155"/>
  <c r="T148" i="155" s="1"/>
  <c r="S196" i="155"/>
  <c r="T196" i="155" s="1"/>
  <c r="S306" i="155"/>
  <c r="S185" i="155"/>
  <c r="T186" i="155" s="1"/>
  <c r="S112" i="155"/>
  <c r="T113" i="155" s="1"/>
  <c r="S379" i="155"/>
  <c r="T379" i="155" s="1"/>
  <c r="S166" i="155"/>
  <c r="S322" i="155"/>
  <c r="S272" i="155"/>
  <c r="S233" i="155"/>
  <c r="T234" i="155" s="1"/>
  <c r="S194" i="155"/>
  <c r="T195" i="155" s="1"/>
  <c r="S325" i="155"/>
  <c r="S369" i="155"/>
  <c r="T369" i="155" s="1"/>
  <c r="S149" i="155"/>
  <c r="T149" i="155" s="1"/>
  <c r="S277" i="155"/>
  <c r="T278" i="155" s="1"/>
  <c r="S159" i="155"/>
  <c r="S168" i="155"/>
  <c r="S164" i="155"/>
  <c r="S275" i="155"/>
  <c r="T276" i="155" s="1"/>
  <c r="S307" i="155"/>
  <c r="T308" i="155" s="1"/>
  <c r="S176" i="155"/>
  <c r="S123" i="155"/>
  <c r="T124" i="155" s="1"/>
  <c r="S262" i="155"/>
  <c r="T263" i="155" s="1"/>
  <c r="S156" i="155"/>
  <c r="T157" i="155" s="1"/>
  <c r="S330" i="155"/>
  <c r="T330" i="155" s="1"/>
  <c r="S187" i="155"/>
  <c r="T187" i="155" s="1"/>
  <c r="T180" i="155"/>
  <c r="T214" i="155"/>
  <c r="T283" i="155"/>
  <c r="T382" i="155"/>
  <c r="T258" i="155"/>
  <c r="T129" i="155"/>
  <c r="T255" i="155"/>
  <c r="T183" i="155"/>
  <c r="T279" i="155"/>
  <c r="T390" i="155"/>
  <c r="T259" i="155"/>
  <c r="T297" i="155"/>
  <c r="T198" i="155"/>
  <c r="T395" i="155"/>
  <c r="T154" i="155"/>
  <c r="T363" i="155"/>
  <c r="T128" i="155"/>
  <c r="T247" i="155"/>
  <c r="T312" i="155"/>
  <c r="T309" i="155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T152" i="155" l="1"/>
  <c r="T121" i="155"/>
  <c r="T280" i="155"/>
  <c r="T305" i="155"/>
  <c r="T239" i="155"/>
  <c r="T368" i="155"/>
  <c r="T322" i="155"/>
  <c r="T105" i="155"/>
  <c r="O101" i="155"/>
  <c r="O103" i="155" s="1"/>
  <c r="T162" i="155"/>
  <c r="T253" i="155"/>
  <c r="T306" i="155"/>
  <c r="T270" i="155"/>
  <c r="T299" i="155"/>
  <c r="T193" i="155"/>
  <c r="T344" i="155"/>
  <c r="T387" i="155"/>
  <c r="T346" i="155"/>
  <c r="T355" i="155"/>
  <c r="T161" i="155"/>
  <c r="T373" i="155"/>
  <c r="T326" i="155"/>
  <c r="T137" i="155"/>
  <c r="T354" i="155"/>
  <c r="T266" i="155"/>
  <c r="T111" i="155"/>
  <c r="T374" i="155"/>
  <c r="T213" i="155"/>
  <c r="T291" i="155"/>
  <c r="T164" i="155"/>
  <c r="T267" i="155"/>
  <c r="T285" i="155"/>
  <c r="T393" i="155"/>
  <c r="T358" i="155"/>
  <c r="T386" i="155"/>
  <c r="T252" i="155"/>
  <c r="T256" i="155"/>
  <c r="T290" i="155"/>
  <c r="T292" i="155"/>
  <c r="T217" i="155"/>
  <c r="T224" i="155"/>
  <c r="T218" i="155"/>
  <c r="T160" i="155"/>
  <c r="T122" i="155"/>
  <c r="T230" i="155"/>
  <c r="T166" i="155"/>
  <c r="T262" i="155"/>
  <c r="T141" i="155"/>
  <c r="T340" i="155"/>
  <c r="T190" i="155"/>
  <c r="T201" i="155"/>
  <c r="T350" i="155"/>
  <c r="T286" i="155"/>
  <c r="T269" i="155"/>
  <c r="T293" i="155"/>
  <c r="T249" i="155"/>
  <c r="T388" i="155"/>
  <c r="T163" i="155"/>
  <c r="T254" i="155"/>
  <c r="T243" i="155"/>
  <c r="O101" i="154"/>
  <c r="T333" i="155"/>
  <c r="T110" i="155"/>
  <c r="T287" i="155"/>
  <c r="T273" i="155"/>
  <c r="T356" i="155"/>
  <c r="T334" i="155"/>
  <c r="T339" i="155"/>
  <c r="T265" i="155"/>
  <c r="T385" i="155"/>
  <c r="T316" i="155"/>
  <c r="T377" i="155"/>
  <c r="T274" i="155"/>
  <c r="T172" i="155"/>
  <c r="T268" i="155"/>
  <c r="T159" i="155"/>
  <c r="T315" i="155"/>
  <c r="T228" i="155"/>
  <c r="T116" i="155"/>
  <c r="T392" i="155"/>
  <c r="T323" i="155"/>
  <c r="T175" i="155"/>
  <c r="T107" i="155"/>
  <c r="T380" i="155"/>
  <c r="T321" i="155"/>
  <c r="T167" i="155"/>
  <c r="T210" i="155"/>
  <c r="T345" i="155"/>
  <c r="T372" i="155"/>
  <c r="T375" i="155"/>
  <c r="T136" i="155"/>
  <c r="T335" i="155"/>
  <c r="T145" i="155"/>
  <c r="T208" i="155"/>
  <c r="T327" i="155"/>
  <c r="T106" i="155"/>
  <c r="T324" i="155"/>
  <c r="T314" i="155"/>
  <c r="T353" i="155"/>
  <c r="T216" i="155"/>
  <c r="T174" i="155"/>
  <c r="T295" i="155"/>
  <c r="T351" i="155"/>
  <c r="T400" i="155"/>
  <c r="T135" i="155"/>
  <c r="T399" i="155"/>
  <c r="T331" i="155"/>
  <c r="T233" i="155"/>
  <c r="T341" i="155"/>
  <c r="T131" i="155"/>
  <c r="T221" i="155"/>
  <c r="T191" i="155"/>
  <c r="T284" i="155"/>
  <c r="T376" i="155"/>
  <c r="T178" i="155"/>
  <c r="T237" i="155"/>
  <c r="T176" i="155"/>
  <c r="T200" i="155"/>
  <c r="T126" i="155"/>
  <c r="T204" i="155"/>
  <c r="T244" i="155"/>
  <c r="T398" i="155"/>
  <c r="T112" i="155"/>
  <c r="T347" i="155"/>
  <c r="T202" i="155"/>
  <c r="T147" i="155"/>
  <c r="T384" i="155"/>
  <c r="T277" i="155"/>
  <c r="T242" i="155"/>
  <c r="T389" i="155"/>
  <c r="T352" i="155"/>
  <c r="T281" i="155"/>
  <c r="T318" i="155"/>
  <c r="T133" i="155"/>
  <c r="T272" i="155"/>
  <c r="T397" i="155"/>
  <c r="T227" i="155"/>
  <c r="T150" i="155"/>
  <c r="T357" i="155"/>
  <c r="T365" i="155"/>
  <c r="T248" i="155"/>
  <c r="T199" i="155"/>
  <c r="T104" i="155"/>
  <c r="T169" i="155"/>
  <c r="T156" i="155"/>
  <c r="T142" i="155"/>
  <c r="T138" i="155"/>
  <c r="T125" i="155"/>
  <c r="T294" i="155"/>
  <c r="T151" i="155"/>
  <c r="T117" i="155"/>
  <c r="T132" i="155"/>
  <c r="T205" i="155"/>
  <c r="T123" i="155"/>
  <c r="T289" i="155"/>
  <c r="T188" i="155"/>
  <c r="T185" i="155"/>
  <c r="T182" i="155"/>
  <c r="T168" i="155"/>
  <c r="T338" i="155"/>
  <c r="T192" i="155"/>
  <c r="T222" i="155"/>
  <c r="T307" i="155"/>
  <c r="T119" i="155"/>
  <c r="T370" i="155"/>
  <c r="T194" i="155"/>
  <c r="T310" i="155"/>
  <c r="T275" i="155"/>
  <c r="T155" i="155"/>
  <c r="T361" i="155"/>
  <c r="T325" i="155"/>
  <c r="T303" i="155"/>
  <c r="T300" i="155"/>
  <c r="T177" i="155"/>
  <c r="T184" i="155"/>
  <c r="T261" i="155"/>
  <c r="T197" i="155"/>
  <c r="T328" i="155"/>
  <c r="T165" i="155"/>
  <c r="T189" i="155"/>
  <c r="T245" i="155"/>
  <c r="J3" i="146" a="1"/>
  <c r="J3" i="146" s="1"/>
  <c r="E5" i="114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X101" i="155" l="1"/>
  <c r="AA101" i="155" s="1"/>
  <c r="K5" i="113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AF101" i="155" l="1"/>
  <c r="H17" i="123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<sst xmlns="http://schemas.openxmlformats.org/spreadsheetml/2006/main" count="5137" uniqueCount="361">
  <si>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</si>
  <si>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</si>
  <si>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</si>
  <si>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</si>
  <si>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</si>
  <si>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</si>
  <si>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</si>
  <si>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</si>
  <si>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</si>
  <si>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</si>
  <si>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</si>
  <si>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</si>
  <si>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</si>
  <si>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</si>
  <si>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yhat</t>
  </si>
  <si>
    <t>x2</t>
  </si>
  <si>
    <t>y</t>
  </si>
  <si>
    <t>x3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</si>
  <si>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</si>
  <si>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</si>
  <si>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</si>
  <si>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</si>
  <si>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</si>
  <si>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</si>
  <si>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</si>
  <si>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</si>
  <si>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</si>
  <si>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</si>
  <si>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</si>
  <si>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</si>
  <si>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</si>
  <si>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</si>
  <si>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</si>
  <si>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</si>
  <si>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</si>
  <si>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</si>
  <si>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</si>
  <si>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</si>
  <si>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</si>
  <si>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</si>
  <si>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</si>
  <si>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</si>
  <si>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</si>
  <si>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</si>
  <si>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</si>
  <si>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</si>
  <si>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</si>
  <si>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</si>
  <si>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</si>
  <si>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</si>
  <si>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</si>
  <si>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</si>
  <si>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</si>
  <si>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</si>
  <si>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</si>
  <si>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</si>
  <si>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</si>
  <si>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</si>
  <si>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</si>
  <si>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</si>
  <si>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</si>
  <si>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</si>
  <si>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</si>
  <si>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</si>
  <si>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</si>
  <si>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</si>
  <si>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</si>
  <si>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</si>
  <si>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</si>
  <si>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</si>
  <si>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</si>
  <si>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</si>
  <si>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</si>
  <si>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</si>
  <si>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</si>
  <si>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</si>
  <si>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</si>
  <si>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</si>
  <si>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</si>
  <si>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</si>
  <si>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</si>
  <si>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</si>
  <si>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</si>
  <si>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</si>
  <si>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</si>
  <si>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</si>
  <si>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</si>
  <si>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</si>
  <si>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</si>
  <si>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</si>
  <si>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</si>
  <si>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</si>
  <si>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</si>
  <si>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</si>
  <si>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</si>
  <si>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</si>
  <si>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</si>
  <si>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</si>
  <si>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Cluster</t>
  </si>
  <si>
    <t>Excel_Demo</t>
  </si>
  <si>
    <t>R_Demo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</si>
  <si>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</si>
  <si>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</si>
  <si>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</si>
  <si>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</si>
  <si>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</si>
  <si>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</si>
  <si>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</si>
  <si>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</si>
  <si>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</si>
  <si>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</si>
  <si>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</si>
  <si>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</si>
  <si>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</si>
  <si>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</si>
  <si>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</si>
  <si>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</si>
  <si>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</si>
  <si>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</si>
  <si>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</si>
  <si>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</si>
  <si>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</si>
  <si>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</si>
  <si>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</si>
  <si>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</si>
  <si>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</si>
  <si>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</si>
  <si>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</si>
  <si>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</si>
  <si>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</si>
  <si>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</si>
  <si>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</si>
  <si>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</si>
  <si>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</si>
  <si>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</si>
  <si>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</si>
  <si>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</si>
  <si>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</si>
  <si>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</si>
  <si>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</si>
  <si>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</si>
  <si>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</si>
  <si>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</si>
  <si>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</si>
  <si>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Diagnostics are important.  We need to know how well we're doing.</t>
  </si>
  <si>
    <t>∀</t>
  </si>
  <si>
    <t>Interpretability is important.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</si>
  <si>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</si>
  <si>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</si>
  <si>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</si>
  <si>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</si>
  <si>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</si>
  <si>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</si>
  <si>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</si>
  <si>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</si>
  <si>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</si>
  <si>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</si>
  <si>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</si>
  <si>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</si>
  <si>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</si>
  <si>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</si>
  <si>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</si>
  <si>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</si>
  <si>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</si>
  <si>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</si>
  <si>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</si>
  <si>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</si>
  <si>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</si>
  <si>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</si>
  <si>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</si>
  <si>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</si>
  <si>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</si>
  <si>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</si>
  <si>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</si>
  <si>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</si>
  <si>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</si>
  <si>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</si>
  <si>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</si>
  <si>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</si>
  <si>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</si>
  <si>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</si>
  <si>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</si>
  <si>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</si>
  <si>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</si>
  <si>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</si>
  <si>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</si>
  <si>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</si>
  <si>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</si>
  <si>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</si>
  <si>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</si>
  <si>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</si>
  <si>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</si>
  <si>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</si>
  <si>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</si>
  <si>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</si>
  <si>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</si>
  <si>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</si>
  <si>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</si>
  <si>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</si>
  <si>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</si>
  <si>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</si>
  <si>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</si>
  <si>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</si>
  <si>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</si>
  <si>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</si>
  <si>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</si>
  <si>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</si>
  <si>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</si>
  <si>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</si>
  <si>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</si>
  <si>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</si>
  <si>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</si>
  <si>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</si>
  <si>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</si>
  <si>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</si>
  <si>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</si>
  <si>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</si>
  <si>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</si>
  <si>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</si>
  <si>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</si>
  <si>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</si>
  <si>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</si>
  <si>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</si>
  <si>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</si>
  <si>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</si>
  <si>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</si>
  <si>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</si>
  <si>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</si>
  <si>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</si>
  <si>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</si>
  <si>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</si>
  <si>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</si>
  <si>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</si>
  <si>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</si>
  <si>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</si>
  <si>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</si>
  <si>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</si>
  <si>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</si>
  <si>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</si>
  <si>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</si>
  <si>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</si>
  <si>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</si>
  <si>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</si>
  <si>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</si>
  <si>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</si>
  <si>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</si>
  <si>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</si>
  <si>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</si>
  <si>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</si>
  <si>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</si>
  <si>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</si>
  <si>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</si>
  <si>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</si>
  <si>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</si>
  <si>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</si>
  <si>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</si>
  <si>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</si>
  <si>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</si>
  <si>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</si>
  <si>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</si>
  <si>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</si>
  <si>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</si>
  <si>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</si>
  <si>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</si>
  <si>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</si>
  <si>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</si>
  <si>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</si>
  <si>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</si>
  <si>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</si>
  <si>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</si>
  <si>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</si>
  <si>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</si>
  <si>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</si>
  <si>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</si>
  <si>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</si>
  <si>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</si>
  <si>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</si>
  <si>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</si>
  <si>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</si>
  <si>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</si>
  <si>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</si>
  <si>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</si>
  <si>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</si>
  <si>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</si>
  <si>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</si>
  <si>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</si>
  <si>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</si>
  <si>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</si>
  <si>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</si>
  <si>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</si>
  <si>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</si>
  <si>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</si>
  <si>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</si>
  <si>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</si>
  <si>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</si>
  <si>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</si>
  <si>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</si>
  <si>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</si>
  <si>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</si>
  <si>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</si>
  <si>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</si>
  <si>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</si>
  <si>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</si>
  <si>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</si>
  <si>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</si>
  <si>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</si>
  <si>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</si>
  <si>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</si>
  <si>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</si>
  <si>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</si>
  <si>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</si>
  <si>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</si>
  <si>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</si>
  <si>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</si>
  <si>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</si>
  <si>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</si>
  <si>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</si>
  <si>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</si>
  <si>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</si>
  <si>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</si>
  <si>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</si>
  <si>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</si>
  <si>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</si>
  <si>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</si>
  <si>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</si>
  <si>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</si>
  <si>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</si>
  <si>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</si>
  <si>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</si>
  <si>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</si>
  <si>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</si>
  <si>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</si>
  <si>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</si>
  <si>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</si>
  <si>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</si>
  <si>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</si>
  <si>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</si>
  <si>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</si>
  <si>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</si>
  <si>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</si>
  <si>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</si>
  <si>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</si>
  <si>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</si>
  <si>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</si>
  <si>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F1Score</t>
  </si>
  <si>
    <t>Bernoulli</t>
  </si>
  <si>
    <t>GAMs</t>
  </si>
  <si>
    <t>DiamondsExample1</t>
  </si>
  <si>
    <t>DiamondsExample2</t>
  </si>
  <si>
    <t>DiamondsExample3</t>
  </si>
  <si>
    <t>Reading</t>
  </si>
  <si>
    <t>Diamonds</t>
  </si>
  <si>
    <t>Create the best out of sample forecast for the price of Diamonds that you can.</t>
  </si>
  <si>
    <t>Compare an approach that uses splines to one that does not.</t>
  </si>
  <si>
    <t>For the model that uses splines, see if an interpretation of the predictor is possible.</t>
  </si>
  <si>
    <t>For each of the reading assingments, submit a paragraph summary of the main ideas.</t>
  </si>
  <si>
    <t>Reading 1 Paragraph</t>
  </si>
  <si>
    <t>Reading 2 Paragraph</t>
  </si>
  <si>
    <t>DiamondsExample4</t>
  </si>
  <si>
    <t>R_1</t>
  </si>
  <si>
    <t>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</si>
</sst>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0000000000000%"/>
    <numFmt numFmtId="166" formatCode="0.000"/>
    <numFmt numFmtId="167" formatCode="0.00000000000000%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sz val="18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2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9" fontId="7" fillId="2" borderId="0" xfId="0" applyNumberFormat="1" applyFont="1" applyFill="1"/>
    <xf numFmtId="9" fontId="7" fillId="2" borderId="0" xfId="5" applyFont="1" applyFill="1"/>
    <xf numFmtId="0" fontId="1" fillId="2" borderId="0" xfId="2" applyFont="1" applyFill="1"/>
    <xf numFmtId="0" fontId="9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4" borderId="0" xfId="0" applyFont="1" applyFill="1"/>
    <xf numFmtId="9" fontId="0" fillId="4" borderId="0" xfId="0" applyNumberFormat="1" applyFont="1" applyFill="1"/>
    <xf numFmtId="9" fontId="0" fillId="5" borderId="0" xfId="5" applyFont="1" applyFill="1"/>
    <xf numFmtId="0" fontId="1" fillId="3" borderId="0" xfId="4" applyFont="1" applyFill="1"/>
    <xf numFmtId="0" fontId="10" fillId="2" borderId="0" xfId="0" applyFont="1" applyFill="1"/>
    <xf numFmtId="0" fontId="9" fillId="2" borderId="0" xfId="1" applyFont="1" applyFill="1"/>
    <xf numFmtId="0" fontId="1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6" borderId="0" xfId="0" applyFont="1" applyFill="1" applyAlignment="1">
      <alignment horizontal="left"/>
    </xf>
    <xf numFmtId="0" fontId="2" fillId="6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4" borderId="0" xfId="0" applyNumberFormat="1" applyFont="1" applyFill="1" applyAlignment="1">
      <alignment horizontal="center"/>
    </xf>
    <xf numFmtId="2" fontId="16" fillId="4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17" fillId="2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20" fillId="2" borderId="0" xfId="0" applyFont="1" applyFill="1"/>
    <xf numFmtId="0" fontId="21" fillId="2" borderId="0" xfId="0" applyFont="1" applyFill="1"/>
    <xf numFmtId="0" fontId="21" fillId="2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7" borderId="0" xfId="0" applyFill="1"/>
    <xf numFmtId="0" fontId="23" fillId="7" borderId="0" xfId="0" applyFont="1" applyFill="1"/>
    <xf numFmtId="0" fontId="25" fillId="7" borderId="0" xfId="0" applyFont="1" applyFill="1" applyAlignment="1">
      <alignment horizontal="right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 applyAlignment="1">
      <alignment horizontal="right"/>
    </xf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 applyAlignment="1">
      <alignment horizontal="right"/>
    </xf>
    <xf numFmtId="0" fontId="0" fillId="7" borderId="16" xfId="0" applyFill="1" applyBorder="1"/>
    <xf numFmtId="0" fontId="0" fillId="7" borderId="17" xfId="0" applyFill="1" applyBorder="1"/>
    <xf numFmtId="0" fontId="0" fillId="7" borderId="9" xfId="0" applyFill="1" applyBorder="1"/>
    <xf numFmtId="0" fontId="0" fillId="7" borderId="18" xfId="0" applyFill="1" applyBorder="1"/>
    <xf numFmtId="0" fontId="0" fillId="7" borderId="19" xfId="0" applyFill="1" applyBorder="1" applyAlignment="1">
      <alignment horizontal="right"/>
    </xf>
    <xf numFmtId="0" fontId="0" fillId="7" borderId="19" xfId="0" applyFill="1" applyBorder="1"/>
    <xf numFmtId="0" fontId="25" fillId="2" borderId="0" xfId="0" applyFont="1" applyFill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26" fillId="7" borderId="0" xfId="0" applyFont="1" applyFill="1"/>
    <xf numFmtId="0" fontId="25" fillId="7" borderId="0" xfId="0" applyFont="1" applyFill="1"/>
    <xf numFmtId="0" fontId="25" fillId="7" borderId="10" xfId="0" applyFont="1" applyFill="1" applyBorder="1"/>
    <xf numFmtId="0" fontId="25" fillId="7" borderId="11" xfId="0" applyFont="1" applyFill="1" applyBorder="1"/>
    <xf numFmtId="0" fontId="25" fillId="7" borderId="12" xfId="0" applyFont="1" applyFill="1" applyBorder="1"/>
    <xf numFmtId="0" fontId="25" fillId="7" borderId="14" xfId="0" applyFont="1" applyFill="1" applyBorder="1"/>
    <xf numFmtId="0" fontId="25" fillId="7" borderId="15" xfId="0" applyFont="1" applyFill="1" applyBorder="1"/>
    <xf numFmtId="0" fontId="25" fillId="7" borderId="17" xfId="0" applyFont="1" applyFill="1" applyBorder="1"/>
    <xf numFmtId="0" fontId="25" fillId="7" borderId="9" xfId="0" applyFont="1" applyFill="1" applyBorder="1"/>
    <xf numFmtId="0" fontId="25" fillId="7" borderId="18" xfId="0" applyFont="1" applyFill="1" applyBorder="1"/>
    <xf numFmtId="0" fontId="28" fillId="7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28" fillId="7" borderId="0" xfId="0" applyFont="1" applyFill="1"/>
    <xf numFmtId="0" fontId="25" fillId="7" borderId="20" xfId="0" applyFont="1" applyFill="1" applyBorder="1"/>
    <xf numFmtId="0" fontId="25" fillId="7" borderId="21" xfId="0" applyFont="1" applyFill="1" applyBorder="1"/>
    <xf numFmtId="0" fontId="25" fillId="7" borderId="22" xfId="0" applyFont="1" applyFill="1" applyBorder="1"/>
    <xf numFmtId="0" fontId="25" fillId="7" borderId="0" xfId="5" applyNumberFormat="1" applyFont="1" applyFill="1"/>
    <xf numFmtId="164" fontId="25" fillId="7" borderId="0" xfId="5" applyNumberFormat="1" applyFont="1" applyFill="1"/>
    <xf numFmtId="165" fontId="25" fillId="7" borderId="0" xfId="0" applyNumberFormat="1" applyFont="1" applyFill="1"/>
    <xf numFmtId="0" fontId="31" fillId="7" borderId="0" xfId="0" applyFont="1" applyFill="1" applyAlignment="1">
      <alignment horizontal="right"/>
    </xf>
    <xf numFmtId="0" fontId="8" fillId="7" borderId="0" xfId="0" applyFont="1" applyFill="1" applyAlignment="1">
      <alignment horizontal="center"/>
    </xf>
    <xf numFmtId="0" fontId="8" fillId="7" borderId="10" xfId="0" applyFont="1" applyFill="1" applyBorder="1"/>
    <xf numFmtId="0" fontId="8" fillId="7" borderId="11" xfId="0" applyFont="1" applyFill="1" applyBorder="1"/>
    <xf numFmtId="0" fontId="8" fillId="7" borderId="12" xfId="0" applyFont="1" applyFill="1" applyBorder="1"/>
    <xf numFmtId="0" fontId="31" fillId="7" borderId="11" xfId="0" applyFont="1" applyFill="1" applyBorder="1" applyAlignment="1">
      <alignment horizontal="right"/>
    </xf>
    <xf numFmtId="166" fontId="25" fillId="7" borderId="0" xfId="0" applyNumberFormat="1" applyFont="1" applyFill="1"/>
    <xf numFmtId="0" fontId="8" fillId="7" borderId="14" xfId="0" applyFont="1" applyFill="1" applyBorder="1"/>
    <xf numFmtId="0" fontId="8" fillId="7" borderId="0" xfId="0" applyFont="1" applyFill="1"/>
    <xf numFmtId="0" fontId="8" fillId="7" borderId="15" xfId="0" applyFont="1" applyFill="1" applyBorder="1"/>
    <xf numFmtId="0" fontId="8" fillId="7" borderId="17" xfId="0" applyFont="1" applyFill="1" applyBorder="1"/>
    <xf numFmtId="0" fontId="8" fillId="7" borderId="9" xfId="0" applyFont="1" applyFill="1" applyBorder="1"/>
    <xf numFmtId="0" fontId="8" fillId="7" borderId="18" xfId="0" applyFont="1" applyFill="1" applyBorder="1"/>
    <xf numFmtId="0" fontId="8" fillId="7" borderId="14" xfId="0" applyFont="1" applyFill="1" applyBorder="1" applyAlignment="1">
      <alignment horizontal="right"/>
    </xf>
    <xf numFmtId="0" fontId="8" fillId="7" borderId="0" xfId="0" applyFont="1" applyFill="1" applyAlignment="1">
      <alignment horizontal="right"/>
    </xf>
    <xf numFmtId="9" fontId="8" fillId="7" borderId="0" xfId="5" applyFont="1" applyFill="1" applyBorder="1"/>
    <xf numFmtId="0" fontId="8" fillId="7" borderId="15" xfId="0" applyFont="1" applyFill="1" applyBorder="1" applyAlignment="1">
      <alignment horizontal="right"/>
    </xf>
    <xf numFmtId="0" fontId="8" fillId="7" borderId="20" xfId="0" applyFont="1" applyFill="1" applyBorder="1"/>
    <xf numFmtId="0" fontId="8" fillId="7" borderId="21" xfId="0" applyFont="1" applyFill="1" applyBorder="1"/>
    <xf numFmtId="0" fontId="8" fillId="7" borderId="22" xfId="0" applyFont="1" applyFill="1" applyBorder="1"/>
    <xf numFmtId="9" fontId="8" fillId="7" borderId="9" xfId="5" applyFont="1" applyFill="1" applyBorder="1"/>
    <xf numFmtId="9" fontId="25" fillId="7" borderId="0" xfId="5" applyFont="1" applyFill="1"/>
    <xf numFmtId="10" fontId="25" fillId="7" borderId="0" xfId="5" applyNumberFormat="1" applyFont="1" applyFill="1"/>
    <xf numFmtId="167" fontId="25" fillId="7" borderId="0" xfId="0" applyNumberFormat="1" applyFont="1" applyFill="1"/>
    <xf numFmtId="0" fontId="31" fillId="7" borderId="0" xfId="0" applyFont="1" applyFill="1" applyAlignment="1">
      <alignment horizontal="center"/>
    </xf>
    <xf numFmtId="164" fontId="8" fillId="7" borderId="0" xfId="0" applyNumberFormat="1" applyFont="1" applyFill="1"/>
    <xf numFmtId="10" fontId="25" fillId="7" borderId="0" xfId="0" applyNumberFormat="1" applyFont="1" applyFill="1"/>
    <xf numFmtId="10" fontId="8" fillId="7" borderId="0" xfId="0" applyNumberFormat="1" applyFont="1" applyFill="1"/>
    <xf numFmtId="10" fontId="8" fillId="7" borderId="0" xfId="5" applyNumberFormat="1" applyFont="1" applyFill="1"/>
    <xf numFmtId="164" fontId="8" fillId="7" borderId="0" xfId="5" applyNumberFormat="1" applyFont="1" applyFill="1"/>
    <xf numFmtId="2" fontId="8" fillId="7" borderId="0" xfId="0" applyNumberFormat="1" applyFont="1" applyFill="1"/>
    <xf numFmtId="164" fontId="8" fillId="7" borderId="0" xfId="0" applyNumberFormat="1" applyFont="1" applyFill="1" applyAlignment="1">
      <alignment shrinkToFit="1"/>
    </xf>
    <xf numFmtId="0" fontId="1" fillId="4" borderId="0" xfId="0" applyFont="1" applyFill="1"/>
    <xf numFmtId="0" fontId="10" fillId="2" borderId="0" xfId="0" applyFont="1" applyFill="1" applyAlignment="1">
      <alignment horizontal="right"/>
    </xf>
    <xf numFmtId="0" fontId="34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8.xml"/><Relationship Id="rId68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3.xml"/><Relationship Id="rId74" Type="http://schemas.openxmlformats.org/officeDocument/2006/relationships/externalLink" Target="externalLinks/externalLink19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6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64" Type="http://schemas.openxmlformats.org/officeDocument/2006/relationships/externalLink" Target="externalLinks/externalLink9.xml"/><Relationship Id="rId69" Type="http://schemas.openxmlformats.org/officeDocument/2006/relationships/externalLink" Target="externalLinks/externalLink14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7.xml"/><Relationship Id="rId80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4.xml"/><Relationship Id="rId67" Type="http://schemas.openxmlformats.org/officeDocument/2006/relationships/externalLink" Target="externalLinks/externalLink1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7.xml"/><Relationship Id="rId70" Type="http://schemas.openxmlformats.org/officeDocument/2006/relationships/externalLink" Target="externalLinks/externalLink15.xml"/><Relationship Id="rId75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5.xml"/><Relationship Id="rId65" Type="http://schemas.openxmlformats.org/officeDocument/2006/relationships/externalLink" Target="externalLinks/externalLink10.xml"/><Relationship Id="rId73" Type="http://schemas.openxmlformats.org/officeDocument/2006/relationships/externalLink" Target="externalLinks/externalLink18.xml"/><Relationship Id="rId78" Type="http://schemas.openxmlformats.org/officeDocument/2006/relationships/styles" Target="styles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2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5.8365758754863814E-3</c:v>
                </c:pt>
                <c:pt idx="7">
                  <c:v>7.7821011673151752E-3</c:v>
                </c:pt>
                <c:pt idx="8">
                  <c:v>1.3618677042801557E-2</c:v>
                </c:pt>
                <c:pt idx="9">
                  <c:v>2.9182879377431907E-2</c:v>
                </c:pt>
                <c:pt idx="10">
                  <c:v>3.5087719298245612E-2</c:v>
                </c:pt>
                <c:pt idx="11">
                  <c:v>5.6530214424951264E-2</c:v>
                </c:pt>
                <c:pt idx="12">
                  <c:v>9.1617933723196876E-2</c:v>
                </c:pt>
                <c:pt idx="13">
                  <c:v>0.10916179337231968</c:v>
                </c:pt>
                <c:pt idx="14">
                  <c:v>0.14035087719298245</c:v>
                </c:pt>
                <c:pt idx="15">
                  <c:v>0.23196881091617932</c:v>
                </c:pt>
                <c:pt idx="16">
                  <c:v>0.25680933852140075</c:v>
                </c:pt>
                <c:pt idx="17">
                  <c:v>0.36381322957198442</c:v>
                </c:pt>
                <c:pt idx="18">
                  <c:v>0.43968871595330739</c:v>
                </c:pt>
                <c:pt idx="19">
                  <c:v>0.4853801169590643</c:v>
                </c:pt>
                <c:pt idx="20">
                  <c:v>0.57504873294346981</c:v>
                </c:pt>
                <c:pt idx="21">
                  <c:v>0.62962962962962965</c:v>
                </c:pt>
                <c:pt idx="22">
                  <c:v>0.73929961089494167</c:v>
                </c:pt>
                <c:pt idx="23">
                  <c:v>0.80701754385964908</c:v>
                </c:pt>
                <c:pt idx="24">
                  <c:v>0.80544747081712065</c:v>
                </c:pt>
                <c:pt idx="25">
                  <c:v>0.88499025341130599</c:v>
                </c:pt>
                <c:pt idx="26">
                  <c:v>0.90856031128404668</c:v>
                </c:pt>
                <c:pt idx="27">
                  <c:v>0.95516569200779722</c:v>
                </c:pt>
                <c:pt idx="28">
                  <c:v>0.96881091617933723</c:v>
                </c:pt>
                <c:pt idx="29">
                  <c:v>0.9688715953307393</c:v>
                </c:pt>
                <c:pt idx="30">
                  <c:v>0.98832684824902728</c:v>
                </c:pt>
                <c:pt idx="31">
                  <c:v>0.98832684824902728</c:v>
                </c:pt>
                <c:pt idx="32">
                  <c:v>0.98830409356725146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0.98562628336755642</c:v>
                </c:pt>
                <c:pt idx="15">
                  <c:v>0.98767967145790558</c:v>
                </c:pt>
                <c:pt idx="16">
                  <c:v>0.97325102880658432</c:v>
                </c:pt>
                <c:pt idx="17">
                  <c:v>0.94032921810699588</c:v>
                </c:pt>
                <c:pt idx="18">
                  <c:v>0.92181069958847739</c:v>
                </c:pt>
                <c:pt idx="19">
                  <c:v>0.85215605749486656</c:v>
                </c:pt>
                <c:pt idx="20">
                  <c:v>0.77002053388090352</c:v>
                </c:pt>
                <c:pt idx="21">
                  <c:v>0.6386036960985626</c:v>
                </c:pt>
                <c:pt idx="22">
                  <c:v>0.55349794238683125</c:v>
                </c:pt>
                <c:pt idx="23">
                  <c:v>0.39835728952772076</c:v>
                </c:pt>
                <c:pt idx="24">
                  <c:v>0.33744855967078191</c:v>
                </c:pt>
                <c:pt idx="25">
                  <c:v>0.2299794661190965</c:v>
                </c:pt>
                <c:pt idx="26">
                  <c:v>0.15637860082304528</c:v>
                </c:pt>
                <c:pt idx="27">
                  <c:v>8.0082135523613956E-2</c:v>
                </c:pt>
                <c:pt idx="28">
                  <c:v>4.1067761806981518E-2</c:v>
                </c:pt>
                <c:pt idx="29">
                  <c:v>2.4691358024691357E-2</c:v>
                </c:pt>
                <c:pt idx="30">
                  <c:v>8.23045267489712E-3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624A7E0-01B0-134B-807F-14FD2BD8A9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822FF7-6355-7C4E-904E-FA6EF016D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C49313-4808-F748-8527-9C76E5FE0A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141C61-6E55-2847-AAF3-74E872ED84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25E9CF-11CF-3B41-AB50-BA7DB2BF9F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D8A74E-FBF1-694F-AEE5-A355D309E9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1F6121-F141-9C47-BC96-0C44E646F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514BC6-D3A1-0547-B4AB-0DE392A82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DD6777-9670-1743-83C5-0232E2B16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E3106A-1AD8-BD40-9A1A-F0EAD45F10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D49BC0-1935-7742-9612-D01C80CA2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8E24DD-0B98-E440-98D5-263870AD7F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2B9BF9-6DFD-8C4C-B370-D05720C1C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2C9972-0FAE-C846-A781-343EC5A27B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670E8A-D7B5-DB42-8C22-D73EF94D51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D5E15E-C9A5-1045-86E2-42240CD478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EECCBC-8499-B042-BD12-B3C8098499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48DDEF-9B7C-1E44-84D3-C079D3746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B8E7F3-F07F-B74A-A290-060BEC4262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624033-1213-B548-95E5-DD1A81A2F2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973007-5AB3-4549-A936-5848ECE14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21F186-719A-5840-94C7-9B4C20BE4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E5FDBD-507A-9C45-84D9-2166443355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340E42-9D42-F643-BDF5-758E0E90F0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B3D8E7-DE58-D441-9B70-11ED67C9EF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9FB437-548B-D348-9326-4B1147D761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A37425-E9F9-6942-B96B-0B584E202D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997CB0-FBB6-D94C-96D8-526797E725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C7CCF0-4BBA-1340-A3BE-F866D9C605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B4BCC1-1D2E-144A-8065-2320734935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53A3A9-8FFC-E543-A466-2676910A9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0F2E79-6CE8-204D-8598-001C0DB788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A19551-19B9-2747-9F36-8C4F6EF33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3.8986354775828458E-3</c:v>
                </c:pt>
                <c:pt idx="7">
                  <c:v>0</c:v>
                </c:pt>
                <c:pt idx="8">
                  <c:v>1.364522417153996E-2</c:v>
                </c:pt>
                <c:pt idx="9">
                  <c:v>2.9239766081871343E-2</c:v>
                </c:pt>
                <c:pt idx="10">
                  <c:v>3.5087719298245612E-2</c:v>
                </c:pt>
                <c:pt idx="11">
                  <c:v>5.0682261208576995E-2</c:v>
                </c:pt>
                <c:pt idx="12">
                  <c:v>7.7972709551656916E-2</c:v>
                </c:pt>
                <c:pt idx="13">
                  <c:v>0.10700389105058365</c:v>
                </c:pt>
                <c:pt idx="14">
                  <c:v>0.13255360623781676</c:v>
                </c:pt>
                <c:pt idx="15">
                  <c:v>0.19066147859922178</c:v>
                </c:pt>
                <c:pt idx="16">
                  <c:v>0.29434697855750486</c:v>
                </c:pt>
                <c:pt idx="17">
                  <c:v>0.36186770428015563</c:v>
                </c:pt>
                <c:pt idx="18">
                  <c:v>0.40077821011673154</c:v>
                </c:pt>
                <c:pt idx="19">
                  <c:v>0.46303501945525294</c:v>
                </c:pt>
                <c:pt idx="20">
                  <c:v>0.58949416342412453</c:v>
                </c:pt>
                <c:pt idx="21">
                  <c:v>0.67704280155642027</c:v>
                </c:pt>
                <c:pt idx="22">
                  <c:v>0.73684210526315785</c:v>
                </c:pt>
                <c:pt idx="23">
                  <c:v>0.80506822612085771</c:v>
                </c:pt>
                <c:pt idx="24">
                  <c:v>0.82456140350877194</c:v>
                </c:pt>
                <c:pt idx="25">
                  <c:v>0.88521400778210113</c:v>
                </c:pt>
                <c:pt idx="26">
                  <c:v>0.8910505836575876</c:v>
                </c:pt>
                <c:pt idx="27">
                  <c:v>0.94541910331384016</c:v>
                </c:pt>
                <c:pt idx="28">
                  <c:v>0.96686159844054576</c:v>
                </c:pt>
                <c:pt idx="29">
                  <c:v>0.98050682261208577</c:v>
                </c:pt>
                <c:pt idx="30">
                  <c:v>0.99221789883268485</c:v>
                </c:pt>
                <c:pt idx="31">
                  <c:v>0.99221789883268485</c:v>
                </c:pt>
                <c:pt idx="32">
                  <c:v>0.99027237354085607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0.98353909465020573</c:v>
                </c:pt>
                <c:pt idx="16">
                  <c:v>0.97741273100616022</c:v>
                </c:pt>
                <c:pt idx="17">
                  <c:v>0.94650205761316875</c:v>
                </c:pt>
                <c:pt idx="18">
                  <c:v>0.90534979423868311</c:v>
                </c:pt>
                <c:pt idx="19">
                  <c:v>0.86419753086419748</c:v>
                </c:pt>
                <c:pt idx="20">
                  <c:v>0.76954732510288071</c:v>
                </c:pt>
                <c:pt idx="21">
                  <c:v>0.66049382716049387</c:v>
                </c:pt>
                <c:pt idx="22">
                  <c:v>0.50718685831622179</c:v>
                </c:pt>
                <c:pt idx="23">
                  <c:v>0.44147843942505133</c:v>
                </c:pt>
                <c:pt idx="24">
                  <c:v>0.33059548254620125</c:v>
                </c:pt>
                <c:pt idx="25">
                  <c:v>0.18106995884773663</c:v>
                </c:pt>
                <c:pt idx="26">
                  <c:v>0.15226337448559671</c:v>
                </c:pt>
                <c:pt idx="27">
                  <c:v>7.3921971252566734E-2</c:v>
                </c:pt>
                <c:pt idx="28">
                  <c:v>5.9548254620123205E-2</c:v>
                </c:pt>
                <c:pt idx="29">
                  <c:v>1.6427104722792608E-2</c:v>
                </c:pt>
                <c:pt idx="30">
                  <c:v>1.2345679012345678E-2</c:v>
                </c:pt>
                <c:pt idx="31">
                  <c:v>4.11522633744856E-3</c:v>
                </c:pt>
                <c:pt idx="32">
                  <c:v>8.23045267489712E-3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D45031-2670-B040-A6E7-6460F464EB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A790D5-2348-8B47-B8B4-C1B1E25D8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328A3-A2B5-B740-9622-8C75E4CD53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0DD424-37E4-1D47-BE10-3820EE5DFF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A45FF1-9357-E14D-932B-788FB36B6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6E92F8-971A-C544-A4E2-585DC44006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6B59DF-2548-B549-AA4D-E00BE695AA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091248-BEC3-7A49-AF7E-4DF1D55419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F8BE06-2295-B246-A20D-6914E3314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2D6020-74F7-DB41-9825-1CF2474D00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864589-9C18-5542-B4B9-93D0205DDA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D42518-7D8D-574A-9DF9-EC4A679F2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108C46-8408-EB49-AF2E-5DA3942337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B3A0F2-FF62-FC4F-BEEB-38CC7D6BD9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4D9973-D69A-3849-BE26-CBAD5BD93D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69FDBF-10F4-9F45-AFB6-8C4DC5EBB7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3E0D60-9A6B-FF46-B9A3-6544573015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106B79-BCA4-EF4C-B85B-D01DA1673C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3E8C9C-DBF4-924F-97E3-5AEF9E9337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082AD3-1FAA-3146-BA28-F448A3B66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3648FD-F7B2-AD4E-A214-9010C280F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784879-918F-4049-8352-92492AA3CC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B60561-B490-7942-9B35-AB14BA959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DC062A-7C06-EA43-9833-E572C6A7BC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72FEB2-3D10-524E-8F2D-630C06D5FC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C97C32-A708-554A-B0D0-82C00C1E2B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D11A2C-5CC3-B243-82F6-31A340ABB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9C1899-EAD5-BD47-A2C3-3DF1F8E24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7678F8-2006-064F-8673-788CD48E1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BCE1F9-D838-E743-A0DD-C09B9F70A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83DF0F-4771-3F4F-8535-178629480D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374E87-055F-EF4D-B940-3507541AD0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57D8A8-336B-3B48-9C19-763A69B8C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0.99805447470817121</c:v>
                </c:pt>
                <c:pt idx="4">
                  <c:v>0.99610136452241715</c:v>
                </c:pt>
                <c:pt idx="5">
                  <c:v>0.99805068226120852</c:v>
                </c:pt>
                <c:pt idx="6">
                  <c:v>0.99415204678362579</c:v>
                </c:pt>
                <c:pt idx="7">
                  <c:v>0.99415204678362579</c:v>
                </c:pt>
                <c:pt idx="8">
                  <c:v>0.98830409356725146</c:v>
                </c:pt>
                <c:pt idx="9">
                  <c:v>0.99025341130604283</c:v>
                </c:pt>
                <c:pt idx="10">
                  <c:v>0.95719844357976658</c:v>
                </c:pt>
                <c:pt idx="11">
                  <c:v>0.949317738791423</c:v>
                </c:pt>
                <c:pt idx="12">
                  <c:v>0.91228070175438591</c:v>
                </c:pt>
                <c:pt idx="13">
                  <c:v>0.8927875243664718</c:v>
                </c:pt>
                <c:pt idx="14">
                  <c:v>0.83073929961089488</c:v>
                </c:pt>
                <c:pt idx="15">
                  <c:v>0.7992202729044835</c:v>
                </c:pt>
                <c:pt idx="16">
                  <c:v>0.69844357976653693</c:v>
                </c:pt>
                <c:pt idx="17">
                  <c:v>0.60505836575875493</c:v>
                </c:pt>
                <c:pt idx="18">
                  <c:v>0.57392996108949412</c:v>
                </c:pt>
                <c:pt idx="19">
                  <c:v>0.52334630350194544</c:v>
                </c:pt>
                <c:pt idx="20">
                  <c:v>0.44357976653696496</c:v>
                </c:pt>
                <c:pt idx="21">
                  <c:v>0.36062378167641329</c:v>
                </c:pt>
                <c:pt idx="22">
                  <c:v>0.24124513618677046</c:v>
                </c:pt>
                <c:pt idx="23">
                  <c:v>0.19493177387914229</c:v>
                </c:pt>
                <c:pt idx="24">
                  <c:v>0.17509727626459148</c:v>
                </c:pt>
                <c:pt idx="25">
                  <c:v>0.10916179337231968</c:v>
                </c:pt>
                <c:pt idx="26">
                  <c:v>8.7548638132295742E-2</c:v>
                </c:pt>
                <c:pt idx="27">
                  <c:v>5.0682261208576995E-2</c:v>
                </c:pt>
                <c:pt idx="28">
                  <c:v>3.8986354775828458E-2</c:v>
                </c:pt>
                <c:pt idx="29">
                  <c:v>2.529182879377434E-2</c:v>
                </c:pt>
                <c:pt idx="30">
                  <c:v>7.7972709551656916E-3</c:v>
                </c:pt>
                <c:pt idx="31">
                  <c:v>1.1695906432748537E-2</c:v>
                </c:pt>
                <c:pt idx="32">
                  <c:v>9.7276264591439343E-3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0.99794661190965095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1</c:v>
                </c:pt>
                <c:pt idx="15">
                  <c:v>0.98767967145790558</c:v>
                </c:pt>
                <c:pt idx="16">
                  <c:v>0.98559670781893005</c:v>
                </c:pt>
                <c:pt idx="17">
                  <c:v>0.94855967078189296</c:v>
                </c:pt>
                <c:pt idx="18">
                  <c:v>0.90946502057613166</c:v>
                </c:pt>
                <c:pt idx="19">
                  <c:v>0.83744855967078191</c:v>
                </c:pt>
                <c:pt idx="20">
                  <c:v>0.77160493827160492</c:v>
                </c:pt>
                <c:pt idx="21">
                  <c:v>0.67145790554414786</c:v>
                </c:pt>
                <c:pt idx="22">
                  <c:v>0.55349794238683125</c:v>
                </c:pt>
                <c:pt idx="23">
                  <c:v>0.43326488706365501</c:v>
                </c:pt>
                <c:pt idx="24">
                  <c:v>0.3271604938271605</c:v>
                </c:pt>
                <c:pt idx="25">
                  <c:v>0.19917864476386038</c:v>
                </c:pt>
                <c:pt idx="26">
                  <c:v>0.13168724279835392</c:v>
                </c:pt>
                <c:pt idx="27">
                  <c:v>9.4455852156057493E-2</c:v>
                </c:pt>
                <c:pt idx="28">
                  <c:v>3.0800821355236138E-2</c:v>
                </c:pt>
                <c:pt idx="29">
                  <c:v>1.646090534979424E-2</c:v>
                </c:pt>
                <c:pt idx="30">
                  <c:v>1.0266940451745379E-2</c:v>
                </c:pt>
                <c:pt idx="31">
                  <c:v>0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3.8019508460064388</c:v>
                </c:pt>
                <c:pt idx="1">
                  <c:v>4.0763335853725238</c:v>
                </c:pt>
                <c:pt idx="2">
                  <c:v>3.3532809453511687</c:v>
                </c:pt>
                <c:pt idx="3">
                  <c:v>3.3653440808580042</c:v>
                </c:pt>
                <c:pt idx="4">
                  <c:v>3.7164159058892525</c:v>
                </c:pt>
                <c:pt idx="5">
                  <c:v>3.88089557530561</c:v>
                </c:pt>
                <c:pt idx="6">
                  <c:v>4.4475742864077858</c:v>
                </c:pt>
                <c:pt idx="7">
                  <c:v>4.7284215205408238</c:v>
                </c:pt>
                <c:pt idx="8">
                  <c:v>4.8102221181658678</c:v>
                </c:pt>
                <c:pt idx="9">
                  <c:v>4.4920024052115988</c:v>
                </c:pt>
                <c:pt idx="10">
                  <c:v>1.7219747628181412</c:v>
                </c:pt>
                <c:pt idx="11">
                  <c:v>1.9331414437417727</c:v>
                </c:pt>
                <c:pt idx="12">
                  <c:v>2.0092689764514362</c:v>
                </c:pt>
                <c:pt idx="13">
                  <c:v>2.4381171883320265</c:v>
                </c:pt>
                <c:pt idx="14">
                  <c:v>1.6272146794995348</c:v>
                </c:pt>
                <c:pt idx="15">
                  <c:v>1.8837051236610329</c:v>
                </c:pt>
                <c:pt idx="16">
                  <c:v>2.0948748022040733</c:v>
                </c:pt>
                <c:pt idx="17">
                  <c:v>1.7024018160232284</c:v>
                </c:pt>
                <c:pt idx="18">
                  <c:v>1.6319621470603387</c:v>
                </c:pt>
                <c:pt idx="19">
                  <c:v>1.8091104532144893</c:v>
                </c:pt>
                <c:pt idx="20">
                  <c:v>1.7162260823182554</c:v>
                </c:pt>
                <c:pt idx="21">
                  <c:v>2.1614246445374703</c:v>
                </c:pt>
                <c:pt idx="22">
                  <c:v>1.633301849578229</c:v>
                </c:pt>
                <c:pt idx="23">
                  <c:v>1.5293743845381402</c:v>
                </c:pt>
                <c:pt idx="24">
                  <c:v>1.8774908991699635</c:v>
                </c:pt>
                <c:pt idx="25">
                  <c:v>1.7988485225872324</c:v>
                </c:pt>
                <c:pt idx="26">
                  <c:v>2.0869095047156021</c:v>
                </c:pt>
                <c:pt idx="27">
                  <c:v>2.0488250030140711</c:v>
                </c:pt>
                <c:pt idx="28">
                  <c:v>2.2051372329104617</c:v>
                </c:pt>
                <c:pt idx="29">
                  <c:v>2.098687676212228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6.10942206894177</c:v>
                </c:pt>
                <c:pt idx="1">
                  <c:v>6.0606228906860133</c:v>
                </c:pt>
                <c:pt idx="2">
                  <c:v>5.838720540916376</c:v>
                </c:pt>
                <c:pt idx="3">
                  <c:v>5.9133752785283393</c:v>
                </c:pt>
                <c:pt idx="4">
                  <c:v>6.4384519892469543</c:v>
                </c:pt>
                <c:pt idx="5">
                  <c:v>6.29395157802578</c:v>
                </c:pt>
                <c:pt idx="6">
                  <c:v>6.3837624696423418</c:v>
                </c:pt>
                <c:pt idx="7">
                  <c:v>5.9491764393026019</c:v>
                </c:pt>
                <c:pt idx="8">
                  <c:v>6.1824885428446752</c:v>
                </c:pt>
                <c:pt idx="9">
                  <c:v>5.9673841817703455</c:v>
                </c:pt>
                <c:pt idx="10">
                  <c:v>1.7692927171443653</c:v>
                </c:pt>
                <c:pt idx="11">
                  <c:v>2.1745290172470795</c:v>
                </c:pt>
                <c:pt idx="12">
                  <c:v>2.069952554186095</c:v>
                </c:pt>
                <c:pt idx="13">
                  <c:v>1.952889528174141</c:v>
                </c:pt>
                <c:pt idx="14">
                  <c:v>1.8846974479294492</c:v>
                </c:pt>
                <c:pt idx="15">
                  <c:v>2.1180599647142189</c:v>
                </c:pt>
                <c:pt idx="16">
                  <c:v>2.148915785422663</c:v>
                </c:pt>
                <c:pt idx="17">
                  <c:v>1.8279001246183513</c:v>
                </c:pt>
                <c:pt idx="18">
                  <c:v>1.5935406300777744</c:v>
                </c:pt>
                <c:pt idx="19">
                  <c:v>1.9259117959306078</c:v>
                </c:pt>
                <c:pt idx="20">
                  <c:v>8.8588527017380301</c:v>
                </c:pt>
                <c:pt idx="21">
                  <c:v>6.9493885604695507</c:v>
                </c:pt>
                <c:pt idx="22">
                  <c:v>6.9867312891641262</c:v>
                </c:pt>
                <c:pt idx="23">
                  <c:v>6.4588904123297715</c:v>
                </c:pt>
                <c:pt idx="24">
                  <c:v>5.7042792950317569</c:v>
                </c:pt>
                <c:pt idx="25">
                  <c:v>6.6714710099492915</c:v>
                </c:pt>
                <c:pt idx="26">
                  <c:v>7.3825519288444799</c:v>
                </c:pt>
                <c:pt idx="27">
                  <c:v>7.7276379490233138</c:v>
                </c:pt>
                <c:pt idx="28">
                  <c:v>6.5265965060344477</c:v>
                </c:pt>
                <c:pt idx="29">
                  <c:v>6.1296802663188314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3.8019508460064388</c:v>
                </c:pt>
                <c:pt idx="1">
                  <c:v>4.0763335853725238</c:v>
                </c:pt>
                <c:pt idx="2">
                  <c:v>3.3532809453511687</c:v>
                </c:pt>
                <c:pt idx="3">
                  <c:v>3.3653440808580042</c:v>
                </c:pt>
                <c:pt idx="4">
                  <c:v>3.7164159058892525</c:v>
                </c:pt>
                <c:pt idx="5">
                  <c:v>3.88089557530561</c:v>
                </c:pt>
                <c:pt idx="6">
                  <c:v>4.4475742864077858</c:v>
                </c:pt>
                <c:pt idx="7">
                  <c:v>4.7284215205408238</c:v>
                </c:pt>
                <c:pt idx="8">
                  <c:v>4.8102221181658678</c:v>
                </c:pt>
                <c:pt idx="9">
                  <c:v>4.4920024052115988</c:v>
                </c:pt>
                <c:pt idx="10">
                  <c:v>1.7219747628181412</c:v>
                </c:pt>
                <c:pt idx="11">
                  <c:v>1.9331414437417727</c:v>
                </c:pt>
                <c:pt idx="12">
                  <c:v>2.0092689764514362</c:v>
                </c:pt>
                <c:pt idx="13">
                  <c:v>2.4381171883320265</c:v>
                </c:pt>
                <c:pt idx="14">
                  <c:v>1.6272146794995348</c:v>
                </c:pt>
                <c:pt idx="15">
                  <c:v>1.8837051236610329</c:v>
                </c:pt>
                <c:pt idx="16">
                  <c:v>2.0948748022040733</c:v>
                </c:pt>
                <c:pt idx="17">
                  <c:v>1.7024018160232284</c:v>
                </c:pt>
                <c:pt idx="18">
                  <c:v>1.6319621470603387</c:v>
                </c:pt>
                <c:pt idx="19">
                  <c:v>1.8091104532144893</c:v>
                </c:pt>
                <c:pt idx="20">
                  <c:v>1.7162260823182554</c:v>
                </c:pt>
                <c:pt idx="21">
                  <c:v>2.1614246445374703</c:v>
                </c:pt>
                <c:pt idx="22">
                  <c:v>1.633301849578229</c:v>
                </c:pt>
                <c:pt idx="23">
                  <c:v>1.5293743845381402</c:v>
                </c:pt>
                <c:pt idx="24">
                  <c:v>1.8774908991699635</c:v>
                </c:pt>
                <c:pt idx="25">
                  <c:v>1.7988485225872324</c:v>
                </c:pt>
                <c:pt idx="26">
                  <c:v>2.0869095047156021</c:v>
                </c:pt>
                <c:pt idx="27">
                  <c:v>2.0488250030140711</c:v>
                </c:pt>
                <c:pt idx="28">
                  <c:v>2.2051372329104617</c:v>
                </c:pt>
                <c:pt idx="29">
                  <c:v>2.098687676212228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6.10942206894177</c:v>
                </c:pt>
                <c:pt idx="1">
                  <c:v>6.0606228906860133</c:v>
                </c:pt>
                <c:pt idx="2">
                  <c:v>5.838720540916376</c:v>
                </c:pt>
                <c:pt idx="3">
                  <c:v>5.9133752785283393</c:v>
                </c:pt>
                <c:pt idx="4">
                  <c:v>6.4384519892469543</c:v>
                </c:pt>
                <c:pt idx="5">
                  <c:v>6.29395157802578</c:v>
                </c:pt>
                <c:pt idx="6">
                  <c:v>6.3837624696423418</c:v>
                </c:pt>
                <c:pt idx="7">
                  <c:v>5.9491764393026019</c:v>
                </c:pt>
                <c:pt idx="8">
                  <c:v>6.1824885428446752</c:v>
                </c:pt>
                <c:pt idx="9">
                  <c:v>5.9673841817703455</c:v>
                </c:pt>
                <c:pt idx="10">
                  <c:v>1.7692927171443653</c:v>
                </c:pt>
                <c:pt idx="11">
                  <c:v>2.1745290172470795</c:v>
                </c:pt>
                <c:pt idx="12">
                  <c:v>2.069952554186095</c:v>
                </c:pt>
                <c:pt idx="13">
                  <c:v>1.952889528174141</c:v>
                </c:pt>
                <c:pt idx="14">
                  <c:v>1.8846974479294492</c:v>
                </c:pt>
                <c:pt idx="15">
                  <c:v>2.1180599647142189</c:v>
                </c:pt>
                <c:pt idx="16">
                  <c:v>2.148915785422663</c:v>
                </c:pt>
                <c:pt idx="17">
                  <c:v>1.8279001246183513</c:v>
                </c:pt>
                <c:pt idx="18">
                  <c:v>1.5935406300777744</c:v>
                </c:pt>
                <c:pt idx="19">
                  <c:v>1.9259117959306078</c:v>
                </c:pt>
                <c:pt idx="20">
                  <c:v>8.8588527017380301</c:v>
                </c:pt>
                <c:pt idx="21">
                  <c:v>6.9493885604695507</c:v>
                </c:pt>
                <c:pt idx="22">
                  <c:v>6.9867312891641262</c:v>
                </c:pt>
                <c:pt idx="23">
                  <c:v>6.4588904123297715</c:v>
                </c:pt>
                <c:pt idx="24">
                  <c:v>5.7042792950317569</c:v>
                </c:pt>
                <c:pt idx="25">
                  <c:v>6.6714710099492915</c:v>
                </c:pt>
                <c:pt idx="26">
                  <c:v>7.3825519288444799</c:v>
                </c:pt>
                <c:pt idx="27">
                  <c:v>7.7276379490233138</c:v>
                </c:pt>
                <c:pt idx="28">
                  <c:v>6.5265965060344477</c:v>
                </c:pt>
                <c:pt idx="29">
                  <c:v>6.1296802663188314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3.8019508460064388</c:v>
                </c:pt>
                <c:pt idx="1">
                  <c:v>4.0763335853725238</c:v>
                </c:pt>
                <c:pt idx="2">
                  <c:v>3.3532809453511687</c:v>
                </c:pt>
                <c:pt idx="3">
                  <c:v>3.3653440808580042</c:v>
                </c:pt>
                <c:pt idx="4">
                  <c:v>3.7164159058892525</c:v>
                </c:pt>
                <c:pt idx="5">
                  <c:v>3.88089557530561</c:v>
                </c:pt>
                <c:pt idx="6">
                  <c:v>4.4475742864077858</c:v>
                </c:pt>
                <c:pt idx="7">
                  <c:v>4.7284215205408238</c:v>
                </c:pt>
                <c:pt idx="8">
                  <c:v>4.8102221181658678</c:v>
                </c:pt>
                <c:pt idx="9">
                  <c:v>4.4920024052115988</c:v>
                </c:pt>
                <c:pt idx="10">
                  <c:v>1.7219747628181412</c:v>
                </c:pt>
                <c:pt idx="11">
                  <c:v>1.9331414437417727</c:v>
                </c:pt>
                <c:pt idx="12">
                  <c:v>2.0092689764514362</c:v>
                </c:pt>
                <c:pt idx="13">
                  <c:v>2.4381171883320265</c:v>
                </c:pt>
                <c:pt idx="14">
                  <c:v>1.6272146794995348</c:v>
                </c:pt>
                <c:pt idx="15">
                  <c:v>1.8837051236610329</c:v>
                </c:pt>
                <c:pt idx="16">
                  <c:v>2.0948748022040733</c:v>
                </c:pt>
                <c:pt idx="17">
                  <c:v>1.7024018160232284</c:v>
                </c:pt>
                <c:pt idx="18">
                  <c:v>1.6319621470603387</c:v>
                </c:pt>
                <c:pt idx="19">
                  <c:v>1.8091104532144893</c:v>
                </c:pt>
                <c:pt idx="20">
                  <c:v>1.7162260823182554</c:v>
                </c:pt>
                <c:pt idx="21">
                  <c:v>2.1614246445374703</c:v>
                </c:pt>
                <c:pt idx="22">
                  <c:v>1.633301849578229</c:v>
                </c:pt>
                <c:pt idx="23">
                  <c:v>1.5293743845381402</c:v>
                </c:pt>
                <c:pt idx="24">
                  <c:v>1.8774908991699635</c:v>
                </c:pt>
                <c:pt idx="25">
                  <c:v>1.7988485225872324</c:v>
                </c:pt>
                <c:pt idx="26">
                  <c:v>2.0869095047156021</c:v>
                </c:pt>
                <c:pt idx="27">
                  <c:v>2.0488250030140711</c:v>
                </c:pt>
                <c:pt idx="28">
                  <c:v>2.2051372329104617</c:v>
                </c:pt>
                <c:pt idx="29">
                  <c:v>2.098687676212228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6.10942206894177</c:v>
                </c:pt>
                <c:pt idx="1">
                  <c:v>6.0606228906860133</c:v>
                </c:pt>
                <c:pt idx="2">
                  <c:v>5.838720540916376</c:v>
                </c:pt>
                <c:pt idx="3">
                  <c:v>5.9133752785283393</c:v>
                </c:pt>
                <c:pt idx="4">
                  <c:v>6.4384519892469543</c:v>
                </c:pt>
                <c:pt idx="5">
                  <c:v>6.29395157802578</c:v>
                </c:pt>
                <c:pt idx="6">
                  <c:v>6.3837624696423418</c:v>
                </c:pt>
                <c:pt idx="7">
                  <c:v>5.9491764393026019</c:v>
                </c:pt>
                <c:pt idx="8">
                  <c:v>6.1824885428446752</c:v>
                </c:pt>
                <c:pt idx="9">
                  <c:v>5.9673841817703455</c:v>
                </c:pt>
                <c:pt idx="10">
                  <c:v>1.7692927171443653</c:v>
                </c:pt>
                <c:pt idx="11">
                  <c:v>2.1745290172470795</c:v>
                </c:pt>
                <c:pt idx="12">
                  <c:v>2.069952554186095</c:v>
                </c:pt>
                <c:pt idx="13">
                  <c:v>1.952889528174141</c:v>
                </c:pt>
                <c:pt idx="14">
                  <c:v>1.8846974479294492</c:v>
                </c:pt>
                <c:pt idx="15">
                  <c:v>2.1180599647142189</c:v>
                </c:pt>
                <c:pt idx="16">
                  <c:v>2.148915785422663</c:v>
                </c:pt>
                <c:pt idx="17">
                  <c:v>1.8279001246183513</c:v>
                </c:pt>
                <c:pt idx="18">
                  <c:v>1.5935406300777744</c:v>
                </c:pt>
                <c:pt idx="19">
                  <c:v>1.9259117959306078</c:v>
                </c:pt>
                <c:pt idx="20">
                  <c:v>8.8588527017380301</c:v>
                </c:pt>
                <c:pt idx="21">
                  <c:v>6.9493885604695507</c:v>
                </c:pt>
                <c:pt idx="22">
                  <c:v>6.9867312891641262</c:v>
                </c:pt>
                <c:pt idx="23">
                  <c:v>6.4588904123297715</c:v>
                </c:pt>
                <c:pt idx="24">
                  <c:v>5.7042792950317569</c:v>
                </c:pt>
                <c:pt idx="25">
                  <c:v>6.6714710099492915</c:v>
                </c:pt>
                <c:pt idx="26">
                  <c:v>7.3825519288444799</c:v>
                </c:pt>
                <c:pt idx="27">
                  <c:v>7.7276379490233138</c:v>
                </c:pt>
                <c:pt idx="28">
                  <c:v>6.5265965060344477</c:v>
                </c:pt>
                <c:pt idx="29">
                  <c:v>6.1296802663188314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3.8019508460064388</c:v>
                </c:pt>
                <c:pt idx="1">
                  <c:v>4.0763335853725238</c:v>
                </c:pt>
                <c:pt idx="2">
                  <c:v>3.3532809453511687</c:v>
                </c:pt>
                <c:pt idx="3">
                  <c:v>3.3653440808580042</c:v>
                </c:pt>
                <c:pt idx="4">
                  <c:v>3.7164159058892525</c:v>
                </c:pt>
                <c:pt idx="5">
                  <c:v>3.88089557530561</c:v>
                </c:pt>
                <c:pt idx="6">
                  <c:v>4.4475742864077858</c:v>
                </c:pt>
                <c:pt idx="7">
                  <c:v>4.7284215205408238</c:v>
                </c:pt>
                <c:pt idx="8">
                  <c:v>4.8102221181658678</c:v>
                </c:pt>
                <c:pt idx="9">
                  <c:v>4.4920024052115988</c:v>
                </c:pt>
                <c:pt idx="10">
                  <c:v>1.7219747628181412</c:v>
                </c:pt>
                <c:pt idx="11">
                  <c:v>1.9331414437417727</c:v>
                </c:pt>
                <c:pt idx="12">
                  <c:v>2.0092689764514362</c:v>
                </c:pt>
                <c:pt idx="13">
                  <c:v>2.4381171883320265</c:v>
                </c:pt>
                <c:pt idx="14">
                  <c:v>1.6272146794995348</c:v>
                </c:pt>
                <c:pt idx="15">
                  <c:v>1.8837051236610329</c:v>
                </c:pt>
                <c:pt idx="16">
                  <c:v>2.0948748022040733</c:v>
                </c:pt>
                <c:pt idx="17">
                  <c:v>1.7024018160232284</c:v>
                </c:pt>
                <c:pt idx="18">
                  <c:v>1.6319621470603387</c:v>
                </c:pt>
                <c:pt idx="19">
                  <c:v>1.8091104532144893</c:v>
                </c:pt>
                <c:pt idx="20">
                  <c:v>1.7162260823182554</c:v>
                </c:pt>
                <c:pt idx="21">
                  <c:v>2.1614246445374703</c:v>
                </c:pt>
                <c:pt idx="22">
                  <c:v>1.633301849578229</c:v>
                </c:pt>
                <c:pt idx="23">
                  <c:v>1.5293743845381402</c:v>
                </c:pt>
                <c:pt idx="24">
                  <c:v>1.8774908991699635</c:v>
                </c:pt>
                <c:pt idx="25">
                  <c:v>1.7988485225872324</c:v>
                </c:pt>
                <c:pt idx="26">
                  <c:v>2.0869095047156021</c:v>
                </c:pt>
                <c:pt idx="27">
                  <c:v>2.0488250030140711</c:v>
                </c:pt>
                <c:pt idx="28">
                  <c:v>2.2051372329104617</c:v>
                </c:pt>
                <c:pt idx="29">
                  <c:v>2.098687676212228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6.10942206894177</c:v>
                </c:pt>
                <c:pt idx="1">
                  <c:v>6.0606228906860133</c:v>
                </c:pt>
                <c:pt idx="2">
                  <c:v>5.838720540916376</c:v>
                </c:pt>
                <c:pt idx="3">
                  <c:v>5.9133752785283393</c:v>
                </c:pt>
                <c:pt idx="4">
                  <c:v>6.4384519892469543</c:v>
                </c:pt>
                <c:pt idx="5">
                  <c:v>6.29395157802578</c:v>
                </c:pt>
                <c:pt idx="6">
                  <c:v>6.3837624696423418</c:v>
                </c:pt>
                <c:pt idx="7">
                  <c:v>5.9491764393026019</c:v>
                </c:pt>
                <c:pt idx="8">
                  <c:v>6.1824885428446752</c:v>
                </c:pt>
                <c:pt idx="9">
                  <c:v>5.9673841817703455</c:v>
                </c:pt>
                <c:pt idx="10">
                  <c:v>1.7692927171443653</c:v>
                </c:pt>
                <c:pt idx="11">
                  <c:v>2.1745290172470795</c:v>
                </c:pt>
                <c:pt idx="12">
                  <c:v>2.069952554186095</c:v>
                </c:pt>
                <c:pt idx="13">
                  <c:v>1.952889528174141</c:v>
                </c:pt>
                <c:pt idx="14">
                  <c:v>1.8846974479294492</c:v>
                </c:pt>
                <c:pt idx="15">
                  <c:v>2.1180599647142189</c:v>
                </c:pt>
                <c:pt idx="16">
                  <c:v>2.148915785422663</c:v>
                </c:pt>
                <c:pt idx="17">
                  <c:v>1.8279001246183513</c:v>
                </c:pt>
                <c:pt idx="18">
                  <c:v>1.5935406300777744</c:v>
                </c:pt>
                <c:pt idx="19">
                  <c:v>1.9259117959306078</c:v>
                </c:pt>
                <c:pt idx="20">
                  <c:v>8.8588527017380301</c:v>
                </c:pt>
                <c:pt idx="21">
                  <c:v>6.9493885604695507</c:v>
                </c:pt>
                <c:pt idx="22">
                  <c:v>6.9867312891641262</c:v>
                </c:pt>
                <c:pt idx="23">
                  <c:v>6.4588904123297715</c:v>
                </c:pt>
                <c:pt idx="24">
                  <c:v>5.7042792950317569</c:v>
                </c:pt>
                <c:pt idx="25">
                  <c:v>6.6714710099492915</c:v>
                </c:pt>
                <c:pt idx="26">
                  <c:v>7.3825519288444799</c:v>
                </c:pt>
                <c:pt idx="27">
                  <c:v>7.7276379490233138</c:v>
                </c:pt>
                <c:pt idx="28">
                  <c:v>6.5265965060344477</c:v>
                </c:pt>
                <c:pt idx="29">
                  <c:v>6.1296802663188314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3.8019508460064388</c:v>
                </c:pt>
                <c:pt idx="1">
                  <c:v>4.0763335853725238</c:v>
                </c:pt>
                <c:pt idx="2">
                  <c:v>3.3532809453511687</c:v>
                </c:pt>
                <c:pt idx="3">
                  <c:v>3.3653440808580042</c:v>
                </c:pt>
                <c:pt idx="4">
                  <c:v>3.7164159058892525</c:v>
                </c:pt>
                <c:pt idx="5">
                  <c:v>3.88089557530561</c:v>
                </c:pt>
                <c:pt idx="6">
                  <c:v>4.4475742864077858</c:v>
                </c:pt>
                <c:pt idx="7">
                  <c:v>4.7284215205408238</c:v>
                </c:pt>
                <c:pt idx="8">
                  <c:v>4.8102221181658678</c:v>
                </c:pt>
                <c:pt idx="9">
                  <c:v>4.4920024052115988</c:v>
                </c:pt>
                <c:pt idx="10">
                  <c:v>1.7219747628181412</c:v>
                </c:pt>
                <c:pt idx="11">
                  <c:v>1.9331414437417727</c:v>
                </c:pt>
                <c:pt idx="12">
                  <c:v>2.0092689764514362</c:v>
                </c:pt>
                <c:pt idx="13">
                  <c:v>2.4381171883320265</c:v>
                </c:pt>
                <c:pt idx="14">
                  <c:v>1.6272146794995348</c:v>
                </c:pt>
                <c:pt idx="15">
                  <c:v>1.8837051236610329</c:v>
                </c:pt>
                <c:pt idx="16">
                  <c:v>2.0948748022040733</c:v>
                </c:pt>
                <c:pt idx="17">
                  <c:v>1.7024018160232284</c:v>
                </c:pt>
                <c:pt idx="18">
                  <c:v>1.6319621470603387</c:v>
                </c:pt>
                <c:pt idx="19">
                  <c:v>1.8091104532144893</c:v>
                </c:pt>
                <c:pt idx="20">
                  <c:v>1.7162260823182554</c:v>
                </c:pt>
                <c:pt idx="21">
                  <c:v>2.1614246445374703</c:v>
                </c:pt>
                <c:pt idx="22">
                  <c:v>1.633301849578229</c:v>
                </c:pt>
                <c:pt idx="23">
                  <c:v>1.5293743845381402</c:v>
                </c:pt>
                <c:pt idx="24">
                  <c:v>1.8774908991699635</c:v>
                </c:pt>
                <c:pt idx="25">
                  <c:v>1.7988485225872324</c:v>
                </c:pt>
                <c:pt idx="26">
                  <c:v>2.0869095047156021</c:v>
                </c:pt>
                <c:pt idx="27">
                  <c:v>2.0488250030140711</c:v>
                </c:pt>
                <c:pt idx="28">
                  <c:v>2.2051372329104617</c:v>
                </c:pt>
                <c:pt idx="29">
                  <c:v>2.098687676212228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6.10942206894177</c:v>
                </c:pt>
                <c:pt idx="1">
                  <c:v>6.0606228906860133</c:v>
                </c:pt>
                <c:pt idx="2">
                  <c:v>5.838720540916376</c:v>
                </c:pt>
                <c:pt idx="3">
                  <c:v>5.9133752785283393</c:v>
                </c:pt>
                <c:pt idx="4">
                  <c:v>6.4384519892469543</c:v>
                </c:pt>
                <c:pt idx="5">
                  <c:v>6.29395157802578</c:v>
                </c:pt>
                <c:pt idx="6">
                  <c:v>6.3837624696423418</c:v>
                </c:pt>
                <c:pt idx="7">
                  <c:v>5.9491764393026019</c:v>
                </c:pt>
                <c:pt idx="8">
                  <c:v>6.1824885428446752</c:v>
                </c:pt>
                <c:pt idx="9">
                  <c:v>5.9673841817703455</c:v>
                </c:pt>
                <c:pt idx="10">
                  <c:v>1.7692927171443653</c:v>
                </c:pt>
                <c:pt idx="11">
                  <c:v>2.1745290172470795</c:v>
                </c:pt>
                <c:pt idx="12">
                  <c:v>2.069952554186095</c:v>
                </c:pt>
                <c:pt idx="13">
                  <c:v>1.952889528174141</c:v>
                </c:pt>
                <c:pt idx="14">
                  <c:v>1.8846974479294492</c:v>
                </c:pt>
                <c:pt idx="15">
                  <c:v>2.1180599647142189</c:v>
                </c:pt>
                <c:pt idx="16">
                  <c:v>2.148915785422663</c:v>
                </c:pt>
                <c:pt idx="17">
                  <c:v>1.8279001246183513</c:v>
                </c:pt>
                <c:pt idx="18">
                  <c:v>1.5935406300777744</c:v>
                </c:pt>
                <c:pt idx="19">
                  <c:v>1.9259117959306078</c:v>
                </c:pt>
                <c:pt idx="20">
                  <c:v>8.8588527017380301</c:v>
                </c:pt>
                <c:pt idx="21">
                  <c:v>6.9493885604695507</c:v>
                </c:pt>
                <c:pt idx="22">
                  <c:v>6.9867312891641262</c:v>
                </c:pt>
                <c:pt idx="23">
                  <c:v>6.4588904123297715</c:v>
                </c:pt>
                <c:pt idx="24">
                  <c:v>5.7042792950317569</c:v>
                </c:pt>
                <c:pt idx="25">
                  <c:v>6.6714710099492915</c:v>
                </c:pt>
                <c:pt idx="26">
                  <c:v>7.3825519288444799</c:v>
                </c:pt>
                <c:pt idx="27">
                  <c:v>7.7276379490233138</c:v>
                </c:pt>
                <c:pt idx="28">
                  <c:v>6.5265965060344477</c:v>
                </c:pt>
                <c:pt idx="29">
                  <c:v>6.1296802663188314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6.1603762073837443E-2</c:v>
                </c:pt>
                <c:pt idx="1">
                  <c:v>0.20358708819843252</c:v>
                </c:pt>
                <c:pt idx="2">
                  <c:v>0.680365499064985</c:v>
                </c:pt>
                <c:pt idx="3">
                  <c:v>4.3642135903092454</c:v>
                </c:pt>
                <c:pt idx="4">
                  <c:v>3.5180743622373747</c:v>
                </c:pt>
                <c:pt idx="5">
                  <c:v>4.2954204857135929</c:v>
                </c:pt>
                <c:pt idx="6">
                  <c:v>10.065985857287606</c:v>
                </c:pt>
                <c:pt idx="7">
                  <c:v>8.2888040056621399</c:v>
                </c:pt>
                <c:pt idx="8">
                  <c:v>6.2821127885676598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2.3893534936609417</c:v>
                </c:pt>
                <c:pt idx="1">
                  <c:v>1.7306279611784432</c:v>
                </c:pt>
                <c:pt idx="2">
                  <c:v>0.75394895359056302</c:v>
                </c:pt>
                <c:pt idx="3">
                  <c:v>3.7010581246432155</c:v>
                </c:pt>
                <c:pt idx="4">
                  <c:v>4.2710302476132709</c:v>
                </c:pt>
                <c:pt idx="5">
                  <c:v>4.2778050753765466</c:v>
                </c:pt>
                <c:pt idx="6">
                  <c:v>7.8114048961014131</c:v>
                </c:pt>
                <c:pt idx="7">
                  <c:v>7.1419077490194844</c:v>
                </c:pt>
                <c:pt idx="8">
                  <c:v>7.4647495738350393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0.31518544977908497</c:v>
                </c:pt>
                <c:pt idx="1">
                  <c:v>4.6149553067069684</c:v>
                </c:pt>
                <c:pt idx="2">
                  <c:v>9.177394931474872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1.6246434694766494</c:v>
                </c:pt>
                <c:pt idx="1">
                  <c:v>4.9286607553670176</c:v>
                </c:pt>
                <c:pt idx="2">
                  <c:v>7.4766563225604488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{1792F400-4ED7-0E49-A969-5EECDE5C5794}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{25BB1C3F-5E7F-2448-B1FC-1D944D03A8D3}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{7F48319F-14D9-134A-AE68-2F475BF48CD4}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{64398E53-ADEB-9147-9623-EFCADEC598C8}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{84466343-4996-6848-9C60-99BC4DD0712F}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{92952C60-6D7A-F940-85C3-2D911B011D47}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{47A0905A-5FB9-F14C-8F1A-5AB506A338C5}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{502BE053-9BEE-B548-A314-085476197645}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{D0B03750-8326-4B44-996B-5E215C8E4C73}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{303B737B-B2B6-F54F-9582-B339194E3927}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{3B43131B-DAE9-9F46-8377-D5514720D162}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{7C1BB579-FFDF-4C45-956D-2B42386B1D47}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AACC75-05BA-5A49-B8C4-A27DEAAD9531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function(x,y,DoF){</a:t>
          </a:r>
        </a:p>
        <a:p>
          <a:r>
            <a:rPr lang="en-US" sz="1200"/>
            <a:t>  fit_spline = smooth.spline(x = x,y = y,df = DoF)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2)</a:t>
          </a:r>
        </a:p>
        <a:p>
          <a:r>
            <a:rPr lang="en-US" sz="1200"/>
            <a:t>MySpineNPlot(x = d$time,y = d$yield, 3)</a:t>
          </a:r>
        </a:p>
        <a:p>
          <a:r>
            <a:rPr lang="en-US" sz="1200"/>
            <a:t>MySpineNPlot(x = d$time,y = d$yield, 4)</a:t>
          </a:r>
        </a:p>
        <a:p>
          <a:r>
            <a:rPr lang="en-US" sz="1200"/>
            <a:t>MySpineNPlot(x = d$time,y = d$yield, 5)</a:t>
          </a:r>
        </a:p>
        <a:p>
          <a:r>
            <a:rPr lang="en-US" sz="1200"/>
            <a:t>MySpineNPlot(x = d$time,y = d$yield, 6)</a:t>
          </a:r>
        </a:p>
        <a:p>
          <a:r>
            <a:rPr lang="en-US" sz="1200"/>
            <a:t>MySpineNPlot(x = d$time,y = d$yield, 7)</a:t>
          </a:r>
        </a:p>
        <a:p>
          <a:r>
            <a:rPr lang="en-US" sz="1200"/>
            <a:t>MySpineNPlot(x = d$time,y = d$yield, 8)</a:t>
          </a:r>
        </a:p>
        <a:p>
          <a:r>
            <a:rPr lang="en-US" sz="1200"/>
            <a:t>MySpineNPlot(x = d$time,y = d$yield, 9)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812800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C47C46-D7A0-0C40-AACE-A496188FA01C}"/>
            </a:ext>
          </a:extLst>
        </xdr:cNvPr>
        <xdr:cNvSpPr txBox="1"/>
      </xdr:nvSpPr>
      <xdr:spPr>
        <a:xfrm>
          <a:off x="8255000" y="3302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function(x,y,DoF){</a:t>
          </a:r>
        </a:p>
        <a:p>
          <a:r>
            <a:rPr lang="en-US" sz="2000"/>
            <a:t>  fit_spline = smooth.spline(x = x,y = y,df = DoF)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3286992-0620-3744-8E03-03DE00B8CC20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function(x,y,DoF,nknots){</a:t>
          </a:r>
        </a:p>
        <a:p>
          <a:r>
            <a:rPr lang="en-US" sz="1200"/>
            <a:t>  fit_spline = smooth.spline(x = x,y = y,df = DoF,nknots = nknots)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DoF = 2, nknots = 4)</a:t>
          </a:r>
        </a:p>
        <a:p>
          <a:r>
            <a:rPr lang="en-US" sz="1200"/>
            <a:t>MySpineNPlot(x = d$time,y = d$yield, DoF = 3, nknots = 4)</a:t>
          </a:r>
        </a:p>
        <a:p>
          <a:r>
            <a:rPr lang="en-US" sz="1200"/>
            <a:t>MySpineNPlot(x = d$time,y = d$yield, DoF = 3, nknots = 5)</a:t>
          </a:r>
        </a:p>
        <a:p>
          <a:r>
            <a:rPr lang="en-US" sz="1200"/>
            <a:t>MySpineNPlot(x = d$time,y = d$yield, DoF = 3, nknots = 6)</a:t>
          </a:r>
        </a:p>
        <a:p>
          <a:r>
            <a:rPr lang="en-US" sz="1200"/>
            <a:t>MySpineNPlot(x = d$time,y = d$yield, DoF = 4, nknots = 4)</a:t>
          </a:r>
        </a:p>
        <a:p>
          <a:r>
            <a:rPr lang="en-US" sz="1200"/>
            <a:t>MySpineNPlot(x = d$time,y = d$yield, DoF = 4, nknots = 5)</a:t>
          </a:r>
        </a:p>
        <a:p>
          <a:r>
            <a:rPr lang="en-US" sz="1200"/>
            <a:t>MySpineNPlot(x = d$time,y = d$yield, DoF = 4, nknots = 6)</a:t>
          </a:r>
        </a:p>
        <a:p>
          <a:r>
            <a:rPr lang="en-US" sz="1200"/>
            <a:t>MySpineNPlot(x = d$time,y = d$yield, DoF = 5, nknots = 4)</a:t>
          </a:r>
        </a:p>
        <a:p>
          <a:r>
            <a:rPr lang="en-US" sz="1200"/>
            <a:t>MySpineNPlot(x = d$time,y = d$yield, DoF = 5, nknots = 5)</a:t>
          </a:r>
        </a:p>
        <a:p>
          <a:r>
            <a:rPr lang="en-US" sz="1200"/>
            <a:t>MySpineNPlot(x = d$time,y = d$yield, DoF = 5, nknots = 6)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BF81D09-8BFC-BE4E-8C85-7BA8D2C68192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function(x,y,DoF,nknots){</a:t>
          </a:r>
        </a:p>
        <a:p>
          <a:r>
            <a:rPr lang="en-US" sz="2000"/>
            <a:t>  fit_spline = smooth.spline(x = x,y = y,df = DoF,nknots = nknots)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10</xdr:col>
      <xdr:colOff>787400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90D4D8-7AF9-FE44-8A04-52E2347E0576}"/>
            </a:ext>
          </a:extLst>
        </xdr:cNvPr>
        <xdr:cNvSpPr txBox="1"/>
      </xdr:nvSpPr>
      <xdr:spPr>
        <a:xfrm>
          <a:off x="850900" y="3429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endParaRPr lang="en-US" sz="2000"/>
        </a:p>
        <a:p>
          <a:r>
            <a:rPr lang="en-US" sz="2000"/>
            <a:t>idx_temp = sample(x = 1:50000,size = 10000,replace = F)</a:t>
          </a:r>
        </a:p>
        <a:p>
          <a:r>
            <a:rPr lang="en-US" sz="2000"/>
            <a:t>d = ggplot2::diamonds[idx_temp,]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24DED3E-945F-F646-8E5E-4A9E9FE97361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fit_spline = smooth.spline(x = d$depth,y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myNewFeature_depth = predict(fit_spline,x = d$depth)$y</a:t>
          </a:r>
        </a:p>
        <a:p>
          <a:r>
            <a:rPr lang="en-US" sz="2000"/>
            <a:t>plot(d$depth,d$price)</a:t>
          </a:r>
        </a:p>
        <a:p>
          <a:r>
            <a:rPr lang="en-US" sz="2000"/>
            <a:t>points(d$depth,myNewFeature_depth,col='blue')</a:t>
          </a:r>
        </a:p>
        <a:p>
          <a:endParaRPr lang="en-US" sz="2000"/>
        </a:p>
        <a:p>
          <a:r>
            <a:rPr lang="en-US" sz="2000"/>
            <a:t>fit_spline = smooth.spline(x = d$table,y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myNewFeature_table = predict(fit_spline,x = d$table)$y</a:t>
          </a:r>
        </a:p>
        <a:p>
          <a:r>
            <a:rPr lang="en-US" sz="2000"/>
            <a:t>plot(d$table,d$price)</a:t>
          </a:r>
        </a:p>
        <a:p>
          <a:r>
            <a:rPr lang="en-US" sz="2000"/>
            <a:t>points(d$table,myNewFeature_table,col='blue')</a:t>
          </a:r>
        </a:p>
        <a:p>
          <a:endParaRPr lang="en-US" sz="2000"/>
        </a:p>
        <a:p>
          <a:r>
            <a:rPr lang="en-US" sz="2000"/>
            <a:t>fit_spline = smooth.spline(x = d$carat,y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myNewFeature_carat = predict(fit_spline,d$carat)$y</a:t>
          </a:r>
        </a:p>
        <a:p>
          <a:r>
            <a:rPr lang="en-US" sz="2000"/>
            <a:t>plot(d$carat,d$price)</a:t>
          </a:r>
        </a:p>
        <a:p>
          <a:r>
            <a:rPr lang="en-US" sz="2000"/>
            <a:t>points(d$carat,myNewFeature_carat,col='blue')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657832-2A6B-D74A-AE9D-85BA0E0929FE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d$myNewFeature_carat = myNewFeature_carat</a:t>
          </a:r>
        </a:p>
        <a:p>
          <a:r>
            <a:rPr lang="en-US" sz="1600"/>
            <a:t>d$myNewFeature_table = myNewFeature_table</a:t>
          </a:r>
        </a:p>
        <a:p>
          <a:r>
            <a:rPr lang="en-US" sz="1600"/>
            <a:t>d$myNewFeature_depth = myNewFeature_depth</a:t>
          </a:r>
        </a:p>
        <a:p>
          <a:endParaRPr lang="en-US" sz="1600"/>
        </a:p>
        <a:p>
          <a:r>
            <a:rPr lang="en-US" sz="1600"/>
            <a:t>fit = lm(price ~ carat + table + depth,data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fit = lm(price ~ myNewFeature_carat + myNewFeature_table + myNewFeature_depth 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# install.packages('mgcv')</a:t>
          </a:r>
        </a:p>
        <a:p>
          <a:r>
            <a:rPr lang="en-US" sz="1600"/>
            <a:t>library(mgcv)</a:t>
          </a:r>
        </a:p>
        <a:p>
          <a:r>
            <a:rPr lang="en-US" sz="1600"/>
            <a:t>fit_gam = gam(price ~ s(carat) + s(table) + s(depth),data = d)</a:t>
          </a:r>
        </a:p>
        <a:p>
          <a:r>
            <a:rPr lang="en-US" sz="1600"/>
            <a:t>yhat_gam = predict(fit_gam)</a:t>
          </a:r>
        </a:p>
        <a:p>
          <a:r>
            <a:rPr lang="en-US" sz="1600"/>
            <a:t>plot(d$price,yhat_gam)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print(sqrt(sum((d$price-yhat_gam)^2)))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47F7DDB-C636-4348-B553-0245D6BA4D2F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d$colorDEF = d$color %in% c('D','E','F')</a:t>
          </a:r>
        </a:p>
        <a:p>
          <a:endParaRPr lang="en-US" sz="1800"/>
        </a:p>
        <a:p>
          <a:r>
            <a:rPr lang="en-US" sz="1800"/>
            <a:t>fit_gam = gam(colorDEF ~ s(carat) + s(table) + s(depth),family = 'binomial',data = d)</a:t>
          </a:r>
        </a:p>
        <a:p>
          <a:r>
            <a:rPr lang="en-US" sz="1800"/>
            <a:t>yhat_gam = round(predict(fit_gam,type = 'response'))  == 1</a:t>
          </a:r>
        </a:p>
        <a:p>
          <a:r>
            <a:rPr lang="en-US" sz="1800"/>
            <a:t>table(d$colorDEF,yhat_gam)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en.wikipedia.org/wiki/Precision_and_recal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n.wikipedia.org/wiki/Sensitivity_and_specific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A1:Y28"/>
  <sheetViews>
    <sheetView tabSelected="1" workbookViewId="0">
      <selection activeCell="A15" sqref="A15"/>
    </sheetView>
  </sheetViews>
  <sheetFormatPr baseColWidth="10" defaultRowHeight="26" x14ac:dyDescent="0.3"/>
  <cols>
    <col min="1" max="16384" width="10.83203125" style="1"/>
  </cols>
  <sheetData>
    <row r="1" spans="1:25" x14ac:dyDescent="0.3">
      <c r="A1" s="1" t="s">
        <v>346</v>
      </c>
      <c r="B1" s="1" t="s">
        <v>346</v>
      </c>
      <c r="C1" s="1" t="s">
        <v>346</v>
      </c>
      <c r="D1" s="1" t="s">
        <v>346</v>
      </c>
      <c r="E1" s="1" t="s">
        <v>346</v>
      </c>
      <c r="F1" s="1" t="s">
        <v>346</v>
      </c>
      <c r="G1" s="1" t="s">
        <v>346</v>
      </c>
      <c r="H1" s="1" t="s">
        <v>346</v>
      </c>
      <c r="I1" s="1" t="s">
        <v>346</v>
      </c>
      <c r="J1" s="1" t="s">
        <v>346</v>
      </c>
      <c r="K1" s="1" t="s">
        <v>346</v>
      </c>
      <c r="L1" s="1" t="s">
        <v>346</v>
      </c>
      <c r="M1" s="1" t="s">
        <v>346</v>
      </c>
      <c r="N1" s="1" t="s">
        <v>346</v>
      </c>
      <c r="O1" s="1" t="s">
        <v>346</v>
      </c>
      <c r="P1" s="1" t="s">
        <v>346</v>
      </c>
      <c r="Q1" s="1" t="s">
        <v>346</v>
      </c>
      <c r="R1" s="1" t="s">
        <v>346</v>
      </c>
      <c r="S1" s="1" t="s">
        <v>346</v>
      </c>
      <c r="T1" s="1" t="s">
        <v>346</v>
      </c>
      <c r="U1" s="1" t="s">
        <v>346</v>
      </c>
      <c r="V1" s="1" t="s">
        <v>346</v>
      </c>
      <c r="W1" s="1" t="s">
        <v>346</v>
      </c>
      <c r="X1" s="1" t="s">
        <v>346</v>
      </c>
      <c r="Y1" s="1" t="s">
        <v>346</v>
      </c>
    </row>
    <row r="2" spans="1:25" x14ac:dyDescent="0.3">
      <c r="A2" s="1" t="s">
        <v>346</v>
      </c>
      <c r="B2" s="1" t="s">
        <v>346</v>
      </c>
      <c r="C2" s="1" t="s">
        <v>346</v>
      </c>
      <c r="D2" s="1" t="s">
        <v>346</v>
      </c>
      <c r="E2" s="1" t="s">
        <v>346</v>
      </c>
      <c r="F2" s="1" t="s">
        <v>346</v>
      </c>
      <c r="G2" s="1" t="s">
        <v>346</v>
      </c>
      <c r="H2" s="1" t="s">
        <v>346</v>
      </c>
      <c r="I2" s="1" t="s">
        <v>346</v>
      </c>
      <c r="J2" s="1" t="s">
        <v>346</v>
      </c>
      <c r="K2" s="1" t="s">
        <v>346</v>
      </c>
      <c r="L2" s="1" t="s">
        <v>346</v>
      </c>
      <c r="M2" s="1" t="s">
        <v>346</v>
      </c>
      <c r="N2" s="1" t="s">
        <v>346</v>
      </c>
      <c r="O2" s="1" t="s">
        <v>346</v>
      </c>
      <c r="P2" s="1" t="s">
        <v>346</v>
      </c>
      <c r="Q2" s="1" t="s">
        <v>346</v>
      </c>
      <c r="R2" s="1" t="s">
        <v>346</v>
      </c>
      <c r="S2" s="1" t="s">
        <v>346</v>
      </c>
      <c r="T2" s="1" t="s">
        <v>346</v>
      </c>
      <c r="U2" s="1" t="s">
        <v>346</v>
      </c>
      <c r="V2" s="1" t="s">
        <v>346</v>
      </c>
      <c r="W2" s="1" t="s">
        <v>346</v>
      </c>
      <c r="X2" s="1" t="s">
        <v>346</v>
      </c>
      <c r="Y2" s="1" t="s">
        <v>346</v>
      </c>
    </row>
    <row r="3" spans="1:25" x14ac:dyDescent="0.3">
      <c r="A3" s="1" t="s">
        <v>346</v>
      </c>
      <c r="B3" s="1" t="s">
        <v>346</v>
      </c>
      <c r="C3" s="1" t="s">
        <v>346</v>
      </c>
      <c r="D3" s="1" t="s">
        <v>346</v>
      </c>
      <c r="E3" s="1" t="s">
        <v>346</v>
      </c>
      <c r="F3" s="1" t="s">
        <v>346</v>
      </c>
      <c r="G3" s="1" t="s">
        <v>346</v>
      </c>
      <c r="H3" s="1" t="s">
        <v>346</v>
      </c>
      <c r="I3" s="1" t="s">
        <v>346</v>
      </c>
      <c r="J3" s="1" t="s">
        <v>346</v>
      </c>
      <c r="K3" s="1" t="s">
        <v>346</v>
      </c>
      <c r="L3" s="1" t="s">
        <v>346</v>
      </c>
      <c r="M3" s="1" t="s">
        <v>346</v>
      </c>
      <c r="N3" s="1" t="s">
        <v>346</v>
      </c>
      <c r="O3" s="1" t="s">
        <v>346</v>
      </c>
      <c r="P3" s="1" t="s">
        <v>346</v>
      </c>
      <c r="Q3" s="1" t="s">
        <v>346</v>
      </c>
      <c r="R3" s="1" t="s">
        <v>346</v>
      </c>
      <c r="S3" s="1" t="s">
        <v>346</v>
      </c>
      <c r="T3" s="1" t="s">
        <v>346</v>
      </c>
      <c r="U3" s="1" t="s">
        <v>346</v>
      </c>
      <c r="V3" s="1" t="s">
        <v>346</v>
      </c>
      <c r="W3" s="1" t="s">
        <v>346</v>
      </c>
      <c r="X3" s="1" t="s">
        <v>346</v>
      </c>
      <c r="Y3" s="1" t="s">
        <v>346</v>
      </c>
    </row>
    <row r="4" spans="1:25" x14ac:dyDescent="0.3">
      <c r="A4" s="1" t="s">
        <v>346</v>
      </c>
      <c r="B4" s="1" t="s">
        <v>346</v>
      </c>
      <c r="C4" s="1" t="s">
        <v>346</v>
      </c>
      <c r="D4" s="1" t="s">
        <v>346</v>
      </c>
      <c r="E4" s="1" t="s">
        <v>346</v>
      </c>
      <c r="F4" s="1" t="s">
        <v>346</v>
      </c>
      <c r="G4" s="1" t="s">
        <v>346</v>
      </c>
      <c r="H4" s="1" t="s">
        <v>346</v>
      </c>
      <c r="I4" s="1" t="s">
        <v>346</v>
      </c>
      <c r="J4" s="1" t="s">
        <v>346</v>
      </c>
      <c r="K4" s="1" t="s">
        <v>346</v>
      </c>
      <c r="L4" s="1" t="s">
        <v>346</v>
      </c>
      <c r="M4" s="1" t="s">
        <v>346</v>
      </c>
      <c r="N4" s="1" t="s">
        <v>346</v>
      </c>
      <c r="O4" s="1" t="s">
        <v>346</v>
      </c>
      <c r="P4" s="1" t="s">
        <v>346</v>
      </c>
      <c r="Q4" s="1" t="s">
        <v>346</v>
      </c>
      <c r="R4" s="1" t="s">
        <v>346</v>
      </c>
      <c r="S4" s="1" t="s">
        <v>346</v>
      </c>
      <c r="T4" s="1" t="s">
        <v>346</v>
      </c>
      <c r="U4" s="1" t="s">
        <v>346</v>
      </c>
      <c r="V4" s="1" t="s">
        <v>346</v>
      </c>
      <c r="W4" s="1" t="s">
        <v>346</v>
      </c>
      <c r="X4" s="1" t="s">
        <v>346</v>
      </c>
      <c r="Y4" s="1" t="s">
        <v>346</v>
      </c>
    </row>
    <row r="5" spans="1:25" x14ac:dyDescent="0.3">
      <c r="A5" s="1" t="s">
        <v>346</v>
      </c>
      <c r="B5" s="1" t="s">
        <v>346</v>
      </c>
      <c r="C5" s="1" t="s">
        <v>346</v>
      </c>
      <c r="D5" s="1" t="s">
        <v>346</v>
      </c>
      <c r="E5" s="1" t="s">
        <v>346</v>
      </c>
      <c r="F5" s="1" t="s">
        <v>346</v>
      </c>
      <c r="G5" s="1" t="s">
        <v>346</v>
      </c>
      <c r="H5" s="126" t="s">
        <v>346</v>
      </c>
      <c r="I5" s="126"/>
      <c r="J5" s="126"/>
      <c r="K5" s="126"/>
      <c r="L5" s="126"/>
      <c r="M5" s="126"/>
      <c r="N5" s="126"/>
      <c r="O5" s="1" t="s">
        <v>346</v>
      </c>
      <c r="P5" s="1" t="s">
        <v>346</v>
      </c>
      <c r="Q5" s="1" t="s">
        <v>346</v>
      </c>
      <c r="R5" s="1" t="s">
        <v>346</v>
      </c>
      <c r="S5" s="1" t="s">
        <v>346</v>
      </c>
      <c r="T5" s="1" t="s">
        <v>346</v>
      </c>
      <c r="U5" s="1" t="s">
        <v>346</v>
      </c>
      <c r="V5" s="1" t="s">
        <v>346</v>
      </c>
      <c r="W5" s="1" t="s">
        <v>346</v>
      </c>
      <c r="X5" s="1" t="s">
        <v>346</v>
      </c>
      <c r="Y5" s="1" t="s">
        <v>346</v>
      </c>
    </row>
    <row r="6" spans="1:25" x14ac:dyDescent="0.3">
      <c r="A6" s="1" t="s">
        <v>346</v>
      </c>
      <c r="B6" s="1" t="s">
        <v>346</v>
      </c>
      <c r="C6" s="1" t="s">
        <v>346</v>
      </c>
      <c r="D6" s="1" t="s">
        <v>346</v>
      </c>
      <c r="E6" s="1" t="s">
        <v>346</v>
      </c>
      <c r="F6" s="1" t="s">
        <v>346</v>
      </c>
      <c r="G6" s="1" t="s">
        <v>346</v>
      </c>
      <c r="H6" s="126"/>
      <c r="I6" s="126"/>
      <c r="J6" s="126"/>
      <c r="K6" s="126"/>
      <c r="L6" s="126"/>
      <c r="M6" s="126"/>
      <c r="N6" s="126"/>
      <c r="O6" s="1" t="s">
        <v>346</v>
      </c>
      <c r="P6" s="1" t="s">
        <v>346</v>
      </c>
      <c r="Q6" s="1" t="s">
        <v>346</v>
      </c>
      <c r="R6" s="1" t="s">
        <v>346</v>
      </c>
      <c r="S6" s="1" t="s">
        <v>346</v>
      </c>
      <c r="T6" s="1" t="s">
        <v>346</v>
      </c>
      <c r="U6" s="1" t="s">
        <v>346</v>
      </c>
      <c r="V6" s="1" t="s">
        <v>346</v>
      </c>
      <c r="W6" s="1" t="s">
        <v>346</v>
      </c>
      <c r="X6" s="1" t="s">
        <v>346</v>
      </c>
      <c r="Y6" s="1" t="s">
        <v>346</v>
      </c>
    </row>
    <row r="7" spans="1:25" x14ac:dyDescent="0.3">
      <c r="A7" s="1" t="s">
        <v>346</v>
      </c>
      <c r="B7" s="1" t="s">
        <v>346</v>
      </c>
      <c r="C7" s="1" t="s">
        <v>346</v>
      </c>
      <c r="D7" s="1" t="s">
        <v>346</v>
      </c>
      <c r="E7" s="1" t="s">
        <v>346</v>
      </c>
      <c r="F7" s="1" t="s">
        <v>346</v>
      </c>
      <c r="G7" s="1" t="s">
        <v>346</v>
      </c>
      <c r="H7" s="126"/>
      <c r="I7" s="126"/>
      <c r="J7" s="126"/>
      <c r="K7" s="126"/>
      <c r="L7" s="126"/>
      <c r="M7" s="126"/>
      <c r="N7" s="126"/>
      <c r="O7" s="1" t="s">
        <v>346</v>
      </c>
      <c r="P7" s="1" t="s">
        <v>346</v>
      </c>
      <c r="Q7" s="1" t="s">
        <v>346</v>
      </c>
      <c r="R7" s="1" t="s">
        <v>346</v>
      </c>
      <c r="S7" s="1" t="s">
        <v>346</v>
      </c>
      <c r="T7" s="1" t="s">
        <v>346</v>
      </c>
      <c r="U7" s="1" t="s">
        <v>346</v>
      </c>
      <c r="V7" s="1" t="s">
        <v>346</v>
      </c>
      <c r="W7" s="1" t="s">
        <v>346</v>
      </c>
      <c r="X7" s="1" t="s">
        <v>346</v>
      </c>
      <c r="Y7" s="1" t="s">
        <v>346</v>
      </c>
    </row>
    <row r="8" spans="1:25" x14ac:dyDescent="0.3">
      <c r="A8" s="1" t="s">
        <v>346</v>
      </c>
      <c r="B8" s="1" t="s">
        <v>346</v>
      </c>
      <c r="C8" s="1" t="s">
        <v>346</v>
      </c>
      <c r="D8" s="1" t="s">
        <v>346</v>
      </c>
      <c r="E8" s="1" t="s">
        <v>346</v>
      </c>
      <c r="F8" s="1" t="s">
        <v>346</v>
      </c>
      <c r="G8" s="1" t="s">
        <v>346</v>
      </c>
      <c r="H8" s="126"/>
      <c r="I8" s="126"/>
      <c r="J8" s="126"/>
      <c r="K8" s="126"/>
      <c r="L8" s="126"/>
      <c r="M8" s="126"/>
      <c r="N8" s="126"/>
      <c r="O8" s="1" t="s">
        <v>346</v>
      </c>
      <c r="P8" s="1" t="s">
        <v>346</v>
      </c>
      <c r="Q8" s="1" t="s">
        <v>346</v>
      </c>
      <c r="R8" s="1" t="s">
        <v>346</v>
      </c>
      <c r="S8" s="1" t="s">
        <v>346</v>
      </c>
      <c r="T8" s="1" t="s">
        <v>346</v>
      </c>
      <c r="U8" s="1" t="s">
        <v>346</v>
      </c>
      <c r="V8" s="1" t="s">
        <v>346</v>
      </c>
      <c r="W8" s="1" t="s">
        <v>346</v>
      </c>
      <c r="X8" s="1" t="s">
        <v>346</v>
      </c>
      <c r="Y8" s="1" t="s">
        <v>346</v>
      </c>
    </row>
    <row r="9" spans="1:25" x14ac:dyDescent="0.3">
      <c r="A9" s="1" t="s">
        <v>346</v>
      </c>
      <c r="B9" s="1" t="s">
        <v>346</v>
      </c>
      <c r="C9" s="1" t="s">
        <v>346</v>
      </c>
      <c r="D9" s="1" t="s">
        <v>346</v>
      </c>
      <c r="E9" s="1" t="s">
        <v>346</v>
      </c>
      <c r="F9" s="1" t="s">
        <v>346</v>
      </c>
      <c r="G9" s="1" t="s">
        <v>346</v>
      </c>
      <c r="H9" s="126"/>
      <c r="I9" s="126"/>
      <c r="J9" s="126"/>
      <c r="K9" s="126"/>
      <c r="L9" s="126"/>
      <c r="M9" s="126"/>
      <c r="N9" s="126"/>
      <c r="O9" s="1" t="s">
        <v>346</v>
      </c>
      <c r="P9" s="1" t="s">
        <v>346</v>
      </c>
      <c r="Q9" s="1" t="s">
        <v>346</v>
      </c>
      <c r="R9" s="1" t="s">
        <v>346</v>
      </c>
      <c r="S9" s="1" t="s">
        <v>346</v>
      </c>
      <c r="T9" s="1" t="s">
        <v>346</v>
      </c>
      <c r="U9" s="1" t="s">
        <v>346</v>
      </c>
      <c r="V9" s="1" t="s">
        <v>346</v>
      </c>
      <c r="W9" s="1" t="s">
        <v>346</v>
      </c>
      <c r="X9" s="1" t="s">
        <v>346</v>
      </c>
      <c r="Y9" s="1" t="s">
        <v>346</v>
      </c>
    </row>
    <row r="10" spans="1:25" x14ac:dyDescent="0.3">
      <c r="A10" s="1" t="s">
        <v>346</v>
      </c>
      <c r="B10" s="1" t="s">
        <v>346</v>
      </c>
      <c r="C10" s="1" t="s">
        <v>346</v>
      </c>
      <c r="D10" s="1" t="s">
        <v>346</v>
      </c>
      <c r="E10" s="1" t="s">
        <v>346</v>
      </c>
      <c r="F10" s="1" t="s">
        <v>346</v>
      </c>
      <c r="G10" s="1" t="s">
        <v>346</v>
      </c>
      <c r="H10" s="126"/>
      <c r="I10" s="126"/>
      <c r="J10" s="126"/>
      <c r="K10" s="126"/>
      <c r="L10" s="126"/>
      <c r="M10" s="126"/>
      <c r="N10" s="126"/>
      <c r="O10" s="1" t="s">
        <v>346</v>
      </c>
      <c r="P10" s="1" t="s">
        <v>346</v>
      </c>
      <c r="Q10" s="1" t="s">
        <v>346</v>
      </c>
      <c r="R10" s="1" t="s">
        <v>346</v>
      </c>
      <c r="S10" s="1" t="s">
        <v>346</v>
      </c>
      <c r="T10" s="1" t="s">
        <v>346</v>
      </c>
      <c r="U10" s="1" t="s">
        <v>346</v>
      </c>
      <c r="V10" s="1" t="s">
        <v>346</v>
      </c>
      <c r="W10" s="1" t="s">
        <v>346</v>
      </c>
      <c r="X10" s="1" t="s">
        <v>346</v>
      </c>
      <c r="Y10" s="1" t="s">
        <v>346</v>
      </c>
    </row>
    <row r="11" spans="1:25" x14ac:dyDescent="0.3">
      <c r="A11" s="1" t="s">
        <v>346</v>
      </c>
      <c r="B11" s="1" t="s">
        <v>346</v>
      </c>
      <c r="C11" s="1" t="s">
        <v>346</v>
      </c>
      <c r="D11" s="1" t="s">
        <v>346</v>
      </c>
      <c r="E11" s="1" t="s">
        <v>346</v>
      </c>
      <c r="F11" s="1" t="s">
        <v>346</v>
      </c>
      <c r="G11" s="1" t="s">
        <v>346</v>
      </c>
      <c r="H11" s="126"/>
      <c r="I11" s="126"/>
      <c r="J11" s="126"/>
      <c r="K11" s="126"/>
      <c r="L11" s="126"/>
      <c r="M11" s="126"/>
      <c r="N11" s="126"/>
      <c r="O11" s="1" t="s">
        <v>346</v>
      </c>
      <c r="P11" s="1" t="s">
        <v>346</v>
      </c>
      <c r="Q11" s="1" t="s">
        <v>346</v>
      </c>
      <c r="R11" s="1" t="s">
        <v>346</v>
      </c>
      <c r="S11" s="1" t="s">
        <v>346</v>
      </c>
      <c r="T11" s="1" t="s">
        <v>346</v>
      </c>
      <c r="U11" s="1" t="s">
        <v>346</v>
      </c>
      <c r="V11" s="1" t="s">
        <v>346</v>
      </c>
      <c r="W11" s="1" t="s">
        <v>346</v>
      </c>
      <c r="X11" s="1" t="s">
        <v>346</v>
      </c>
      <c r="Y11" s="1" t="s">
        <v>346</v>
      </c>
    </row>
    <row r="12" spans="1:25" x14ac:dyDescent="0.3">
      <c r="A12" s="1" t="s">
        <v>346</v>
      </c>
      <c r="B12" s="1" t="s">
        <v>346</v>
      </c>
      <c r="C12" s="1" t="s">
        <v>346</v>
      </c>
      <c r="D12" s="1" t="s">
        <v>346</v>
      </c>
      <c r="E12" s="1" t="s">
        <v>346</v>
      </c>
      <c r="F12" s="1" t="s">
        <v>346</v>
      </c>
      <c r="G12" s="1" t="s">
        <v>346</v>
      </c>
      <c r="H12" s="126"/>
      <c r="I12" s="126"/>
      <c r="J12" s="126"/>
      <c r="K12" s="126"/>
      <c r="L12" s="126"/>
      <c r="M12" s="126"/>
      <c r="N12" s="126"/>
      <c r="O12" s="1" t="s">
        <v>346</v>
      </c>
      <c r="P12" s="1" t="s">
        <v>346</v>
      </c>
      <c r="Q12" s="1" t="s">
        <v>346</v>
      </c>
      <c r="R12" s="1" t="s">
        <v>346</v>
      </c>
      <c r="S12" s="1" t="s">
        <v>346</v>
      </c>
      <c r="T12" s="1" t="s">
        <v>346</v>
      </c>
      <c r="U12" s="1" t="s">
        <v>346</v>
      </c>
      <c r="V12" s="1" t="s">
        <v>346</v>
      </c>
      <c r="W12" s="1" t="s">
        <v>346</v>
      </c>
      <c r="X12" s="1" t="s">
        <v>346</v>
      </c>
      <c r="Y12" s="1" t="s">
        <v>346</v>
      </c>
    </row>
    <row r="13" spans="1:25" x14ac:dyDescent="0.3">
      <c r="A13" s="1" t="s">
        <v>346</v>
      </c>
      <c r="B13" s="1" t="s">
        <v>346</v>
      </c>
      <c r="C13" s="1" t="s">
        <v>346</v>
      </c>
      <c r="D13" s="1" t="s">
        <v>346</v>
      </c>
      <c r="E13" s="1" t="s">
        <v>346</v>
      </c>
      <c r="F13" s="1" t="s">
        <v>346</v>
      </c>
      <c r="G13" s="1" t="s">
        <v>346</v>
      </c>
      <c r="H13" s="1" t="s">
        <v>346</v>
      </c>
      <c r="I13" s="1" t="s">
        <v>346</v>
      </c>
      <c r="J13" s="1" t="s">
        <v>346</v>
      </c>
      <c r="K13" s="1" t="s">
        <v>346</v>
      </c>
      <c r="L13" s="1" t="s">
        <v>346</v>
      </c>
      <c r="M13" s="1" t="s">
        <v>346</v>
      </c>
      <c r="N13" s="1" t="s">
        <v>346</v>
      </c>
      <c r="O13" s="1" t="s">
        <v>346</v>
      </c>
      <c r="P13" s="1" t="s">
        <v>346</v>
      </c>
      <c r="Q13" s="1" t="s">
        <v>346</v>
      </c>
      <c r="R13" s="1" t="s">
        <v>346</v>
      </c>
      <c r="S13" s="1" t="s">
        <v>346</v>
      </c>
      <c r="T13" s="1" t="s">
        <v>346</v>
      </c>
      <c r="U13" s="1" t="s">
        <v>346</v>
      </c>
      <c r="V13" s="1" t="s">
        <v>346</v>
      </c>
      <c r="W13" s="1" t="s">
        <v>346</v>
      </c>
      <c r="X13" s="1" t="s">
        <v>346</v>
      </c>
      <c r="Y13" s="1" t="s">
        <v>346</v>
      </c>
    </row>
    <row r="14" spans="1:25" x14ac:dyDescent="0.3">
      <c r="A14" s="1" t="s">
        <v>346</v>
      </c>
      <c r="B14" s="1" t="s">
        <v>346</v>
      </c>
      <c r="C14" s="1" t="s">
        <v>346</v>
      </c>
      <c r="D14" s="1" t="s">
        <v>346</v>
      </c>
      <c r="E14" s="1" t="s">
        <v>346</v>
      </c>
      <c r="F14" s="1" t="s">
        <v>346</v>
      </c>
      <c r="G14" s="1" t="s">
        <v>346</v>
      </c>
      <c r="H14" s="1" t="s">
        <v>346</v>
      </c>
      <c r="I14" s="1" t="s">
        <v>346</v>
      </c>
      <c r="J14" s="1" t="s">
        <v>346</v>
      </c>
      <c r="K14" s="1" t="s">
        <v>346</v>
      </c>
      <c r="L14" s="1" t="s">
        <v>346</v>
      </c>
      <c r="M14" s="1" t="s">
        <v>346</v>
      </c>
      <c r="N14" s="1" t="s">
        <v>346</v>
      </c>
      <c r="O14" s="1" t="s">
        <v>346</v>
      </c>
      <c r="P14" s="1" t="s">
        <v>346</v>
      </c>
      <c r="Q14" s="1" t="s">
        <v>346</v>
      </c>
      <c r="R14" s="1" t="s">
        <v>346</v>
      </c>
      <c r="S14" s="1" t="s">
        <v>346</v>
      </c>
      <c r="T14" s="1" t="s">
        <v>346</v>
      </c>
      <c r="U14" s="1" t="s">
        <v>346</v>
      </c>
      <c r="V14" s="1" t="s">
        <v>346</v>
      </c>
      <c r="W14" s="1" t="s">
        <v>346</v>
      </c>
      <c r="X14" s="1" t="s">
        <v>346</v>
      </c>
      <c r="Y14" s="1" t="s">
        <v>346</v>
      </c>
    </row>
    <row r="15" spans="1:25" x14ac:dyDescent="0.3">
      <c r="A15" s="1" t="s">
        <v>346</v>
      </c>
      <c r="B15" s="1" t="s">
        <v>346</v>
      </c>
      <c r="C15" s="1" t="s">
        <v>346</v>
      </c>
      <c r="D15" s="1" t="s">
        <v>346</v>
      </c>
      <c r="E15" s="1" t="s">
        <v>346</v>
      </c>
      <c r="F15" s="1" t="s">
        <v>346</v>
      </c>
      <c r="G15" s="1" t="s">
        <v>346</v>
      </c>
      <c r="H15" s="1" t="s">
        <v>346</v>
      </c>
      <c r="I15" s="1" t="s">
        <v>346</v>
      </c>
      <c r="J15" s="1" t="s">
        <v>346</v>
      </c>
      <c r="K15" s="1" t="s">
        <v>346</v>
      </c>
      <c r="L15" s="1" t="s">
        <v>346</v>
      </c>
      <c r="M15" s="1" t="s">
        <v>346</v>
      </c>
      <c r="N15" s="1" t="s">
        <v>346</v>
      </c>
      <c r="O15" s="1" t="s">
        <v>346</v>
      </c>
      <c r="P15" s="1" t="s">
        <v>346</v>
      </c>
      <c r="Q15" s="1" t="s">
        <v>346</v>
      </c>
      <c r="R15" s="1" t="s">
        <v>346</v>
      </c>
      <c r="S15" s="1" t="s">
        <v>346</v>
      </c>
      <c r="T15" s="1" t="s">
        <v>346</v>
      </c>
      <c r="U15" s="1" t="s">
        <v>346</v>
      </c>
      <c r="V15" s="1" t="s">
        <v>346</v>
      </c>
      <c r="W15" s="1" t="s">
        <v>346</v>
      </c>
      <c r="X15" s="1" t="s">
        <v>346</v>
      </c>
      <c r="Y15" s="1" t="s">
        <v>346</v>
      </c>
    </row>
    <row r="16" spans="1:25" x14ac:dyDescent="0.3">
      <c r="A16" s="1" t="s">
        <v>346</v>
      </c>
      <c r="B16" s="1" t="s">
        <v>346</v>
      </c>
      <c r="C16" s="1" t="s">
        <v>346</v>
      </c>
      <c r="D16" s="1" t="s">
        <v>346</v>
      </c>
      <c r="E16" s="1" t="s">
        <v>346</v>
      </c>
      <c r="F16" s="1" t="s">
        <v>346</v>
      </c>
      <c r="G16" s="1" t="s">
        <v>346</v>
      </c>
      <c r="H16" s="1" t="s">
        <v>346</v>
      </c>
      <c r="I16" s="1" t="s">
        <v>346</v>
      </c>
      <c r="J16" s="1" t="s">
        <v>346</v>
      </c>
      <c r="K16" s="1" t="s">
        <v>346</v>
      </c>
      <c r="L16" s="1" t="s">
        <v>346</v>
      </c>
      <c r="M16" s="1" t="s">
        <v>346</v>
      </c>
      <c r="N16" s="1" t="s">
        <v>346</v>
      </c>
      <c r="O16" s="1" t="s">
        <v>346</v>
      </c>
      <c r="P16" s="1" t="s">
        <v>346</v>
      </c>
      <c r="Q16" s="1" t="s">
        <v>346</v>
      </c>
      <c r="R16" s="1" t="s">
        <v>346</v>
      </c>
      <c r="S16" s="1" t="s">
        <v>346</v>
      </c>
      <c r="T16" s="1" t="s">
        <v>346</v>
      </c>
      <c r="U16" s="1" t="s">
        <v>346</v>
      </c>
      <c r="V16" s="1" t="s">
        <v>346</v>
      </c>
      <c r="W16" s="1" t="s">
        <v>346</v>
      </c>
      <c r="X16" s="1" t="s">
        <v>346</v>
      </c>
      <c r="Y16" s="1" t="s">
        <v>346</v>
      </c>
    </row>
    <row r="17" spans="1:25" x14ac:dyDescent="0.3">
      <c r="A17" s="1" t="s">
        <v>346</v>
      </c>
      <c r="B17" s="1" t="s">
        <v>346</v>
      </c>
      <c r="C17" s="1" t="s">
        <v>346</v>
      </c>
      <c r="D17" s="1" t="s">
        <v>346</v>
      </c>
      <c r="E17" s="1" t="s">
        <v>346</v>
      </c>
      <c r="F17" s="1" t="s">
        <v>346</v>
      </c>
      <c r="G17" s="1" t="s">
        <v>346</v>
      </c>
      <c r="H17" s="1" t="s">
        <v>346</v>
      </c>
      <c r="I17" s="1" t="s">
        <v>346</v>
      </c>
      <c r="J17" s="1" t="s">
        <v>346</v>
      </c>
      <c r="K17" s="1" t="s">
        <v>346</v>
      </c>
      <c r="L17" s="1" t="s">
        <v>346</v>
      </c>
      <c r="M17" s="1" t="s">
        <v>346</v>
      </c>
      <c r="N17" s="1" t="s">
        <v>346</v>
      </c>
      <c r="O17" s="1" t="s">
        <v>346</v>
      </c>
      <c r="P17" s="1" t="s">
        <v>346</v>
      </c>
      <c r="Q17" s="1" t="s">
        <v>346</v>
      </c>
      <c r="R17" s="1" t="s">
        <v>346</v>
      </c>
      <c r="S17" s="1" t="s">
        <v>346</v>
      </c>
      <c r="T17" s="1" t="s">
        <v>346</v>
      </c>
      <c r="U17" s="1" t="s">
        <v>346</v>
      </c>
      <c r="V17" s="1" t="s">
        <v>346</v>
      </c>
      <c r="W17" s="1" t="s">
        <v>346</v>
      </c>
      <c r="X17" s="1" t="s">
        <v>346</v>
      </c>
      <c r="Y17" s="1" t="s">
        <v>346</v>
      </c>
    </row>
    <row r="18" spans="1:25" x14ac:dyDescent="0.3">
      <c r="A18" s="1" t="s">
        <v>346</v>
      </c>
      <c r="B18" s="1" t="s">
        <v>346</v>
      </c>
      <c r="C18" s="1" t="s">
        <v>346</v>
      </c>
      <c r="D18" s="1" t="s">
        <v>346</v>
      </c>
      <c r="E18" s="1" t="s">
        <v>346</v>
      </c>
      <c r="F18" s="1" t="s">
        <v>346</v>
      </c>
      <c r="G18" s="1" t="s">
        <v>346</v>
      </c>
      <c r="H18" s="1" t="s">
        <v>346</v>
      </c>
      <c r="I18" s="1" t="s">
        <v>346</v>
      </c>
      <c r="J18" s="1" t="s">
        <v>346</v>
      </c>
      <c r="K18" s="1" t="s">
        <v>346</v>
      </c>
      <c r="L18" s="1" t="s">
        <v>346</v>
      </c>
      <c r="M18" s="1" t="s">
        <v>346</v>
      </c>
      <c r="N18" s="1" t="s">
        <v>346</v>
      </c>
      <c r="O18" s="1" t="s">
        <v>346</v>
      </c>
      <c r="P18" s="1" t="s">
        <v>346</v>
      </c>
      <c r="Q18" s="1" t="s">
        <v>346</v>
      </c>
      <c r="R18" s="1" t="s">
        <v>346</v>
      </c>
      <c r="S18" s="1" t="s">
        <v>346</v>
      </c>
      <c r="T18" s="1" t="s">
        <v>346</v>
      </c>
      <c r="U18" s="1" t="s">
        <v>346</v>
      </c>
      <c r="V18" s="1" t="s">
        <v>346</v>
      </c>
      <c r="W18" s="1" t="s">
        <v>346</v>
      </c>
      <c r="X18" s="1" t="s">
        <v>346</v>
      </c>
      <c r="Y18" s="1" t="s">
        <v>346</v>
      </c>
    </row>
    <row r="19" spans="1:25" x14ac:dyDescent="0.3">
      <c r="A19" s="1" t="s">
        <v>346</v>
      </c>
      <c r="B19" s="1" t="s">
        <v>346</v>
      </c>
      <c r="C19" s="1" t="s">
        <v>346</v>
      </c>
      <c r="D19" s="1" t="s">
        <v>346</v>
      </c>
      <c r="E19" s="1" t="s">
        <v>346</v>
      </c>
      <c r="F19" s="1" t="s">
        <v>346</v>
      </c>
      <c r="G19" s="1" t="s">
        <v>346</v>
      </c>
      <c r="H19" s="1" t="s">
        <v>346</v>
      </c>
      <c r="I19" s="1" t="s">
        <v>346</v>
      </c>
      <c r="J19" s="1" t="s">
        <v>346</v>
      </c>
      <c r="K19" s="1" t="s">
        <v>346</v>
      </c>
      <c r="L19" s="1" t="s">
        <v>346</v>
      </c>
      <c r="M19" s="1" t="s">
        <v>346</v>
      </c>
      <c r="N19" s="1" t="s">
        <v>346</v>
      </c>
      <c r="O19" s="1" t="s">
        <v>346</v>
      </c>
      <c r="P19" s="1" t="s">
        <v>346</v>
      </c>
      <c r="Q19" s="1" t="s">
        <v>346</v>
      </c>
      <c r="R19" s="1" t="s">
        <v>346</v>
      </c>
      <c r="S19" s="1" t="s">
        <v>346</v>
      </c>
      <c r="T19" s="1" t="s">
        <v>346</v>
      </c>
      <c r="U19" s="1" t="s">
        <v>346</v>
      </c>
      <c r="V19" s="1" t="s">
        <v>346</v>
      </c>
      <c r="W19" s="1" t="s">
        <v>346</v>
      </c>
      <c r="X19" s="1" t="s">
        <v>346</v>
      </c>
      <c r="Y19" s="1" t="s">
        <v>346</v>
      </c>
    </row>
    <row r="20" spans="1:25" x14ac:dyDescent="0.3">
      <c r="A20" s="1" t="s">
        <v>346</v>
      </c>
      <c r="B20" s="1" t="s">
        <v>346</v>
      </c>
      <c r="C20" s="1" t="s">
        <v>346</v>
      </c>
      <c r="D20" s="1" t="s">
        <v>346</v>
      </c>
      <c r="E20" s="1" t="s">
        <v>346</v>
      </c>
      <c r="F20" s="1" t="s">
        <v>346</v>
      </c>
      <c r="G20" s="1" t="s">
        <v>346</v>
      </c>
      <c r="H20" s="1" t="s">
        <v>346</v>
      </c>
      <c r="I20" s="1" t="s">
        <v>346</v>
      </c>
      <c r="J20" s="1" t="s">
        <v>346</v>
      </c>
      <c r="K20" s="1" t="s">
        <v>346</v>
      </c>
      <c r="L20" s="1" t="s">
        <v>346</v>
      </c>
      <c r="M20" s="1" t="s">
        <v>346</v>
      </c>
      <c r="N20" s="1" t="s">
        <v>346</v>
      </c>
      <c r="O20" s="1" t="s">
        <v>346</v>
      </c>
      <c r="P20" s="1" t="s">
        <v>346</v>
      </c>
      <c r="Q20" s="1" t="s">
        <v>346</v>
      </c>
      <c r="R20" s="1" t="s">
        <v>346</v>
      </c>
      <c r="S20" s="1" t="s">
        <v>346</v>
      </c>
      <c r="T20" s="1" t="s">
        <v>346</v>
      </c>
      <c r="U20" s="1" t="s">
        <v>346</v>
      </c>
      <c r="V20" s="1" t="s">
        <v>346</v>
      </c>
      <c r="W20" s="1" t="s">
        <v>346</v>
      </c>
      <c r="X20" s="1" t="s">
        <v>346</v>
      </c>
      <c r="Y20" s="1" t="s">
        <v>346</v>
      </c>
    </row>
    <row r="21" spans="1:25" x14ac:dyDescent="0.3">
      <c r="A21" s="1" t="s">
        <v>346</v>
      </c>
      <c r="B21" s="1" t="s">
        <v>346</v>
      </c>
      <c r="C21" s="1" t="s">
        <v>346</v>
      </c>
      <c r="D21" s="1" t="s">
        <v>346</v>
      </c>
      <c r="E21" s="1" t="s">
        <v>346</v>
      </c>
      <c r="F21" s="1" t="s">
        <v>346</v>
      </c>
      <c r="G21" s="1" t="s">
        <v>346</v>
      </c>
      <c r="H21" s="1" t="s">
        <v>346</v>
      </c>
      <c r="I21" s="1" t="s">
        <v>346</v>
      </c>
      <c r="J21" s="1" t="s">
        <v>346</v>
      </c>
      <c r="K21" s="1" t="s">
        <v>346</v>
      </c>
      <c r="L21" s="1" t="s">
        <v>346</v>
      </c>
      <c r="M21" s="1" t="s">
        <v>346</v>
      </c>
      <c r="N21" s="1" t="s">
        <v>346</v>
      </c>
      <c r="O21" s="1" t="s">
        <v>346</v>
      </c>
      <c r="P21" s="1" t="s">
        <v>346</v>
      </c>
      <c r="Q21" s="1" t="s">
        <v>346</v>
      </c>
      <c r="R21" s="1" t="s">
        <v>346</v>
      </c>
      <c r="S21" s="1" t="s">
        <v>346</v>
      </c>
      <c r="T21" s="1" t="s">
        <v>346</v>
      </c>
      <c r="U21" s="1" t="s">
        <v>346</v>
      </c>
      <c r="V21" s="1" t="s">
        <v>346</v>
      </c>
      <c r="W21" s="1" t="s">
        <v>346</v>
      </c>
      <c r="X21" s="1" t="s">
        <v>346</v>
      </c>
      <c r="Y21" s="1" t="s">
        <v>346</v>
      </c>
    </row>
    <row r="22" spans="1:25" x14ac:dyDescent="0.3">
      <c r="A22" s="1" t="s">
        <v>346</v>
      </c>
      <c r="B22" s="1" t="s">
        <v>346</v>
      </c>
      <c r="C22" s="1" t="s">
        <v>346</v>
      </c>
      <c r="D22" s="1" t="s">
        <v>346</v>
      </c>
      <c r="E22" s="1" t="s">
        <v>346</v>
      </c>
      <c r="F22" s="1" t="s">
        <v>346</v>
      </c>
      <c r="G22" s="1" t="s">
        <v>346</v>
      </c>
      <c r="H22" s="1" t="s">
        <v>346</v>
      </c>
      <c r="I22" s="1" t="s">
        <v>346</v>
      </c>
      <c r="J22" s="1" t="s">
        <v>346</v>
      </c>
      <c r="K22" s="1" t="s">
        <v>346</v>
      </c>
      <c r="L22" s="1" t="s">
        <v>346</v>
      </c>
      <c r="M22" s="1" t="s">
        <v>346</v>
      </c>
      <c r="N22" s="1" t="s">
        <v>346</v>
      </c>
      <c r="O22" s="1" t="s">
        <v>346</v>
      </c>
      <c r="P22" s="1" t="s">
        <v>346</v>
      </c>
      <c r="Q22" s="1" t="s">
        <v>346</v>
      </c>
      <c r="R22" s="1" t="s">
        <v>346</v>
      </c>
      <c r="S22" s="1" t="s">
        <v>346</v>
      </c>
      <c r="T22" s="1" t="s">
        <v>346</v>
      </c>
      <c r="U22" s="1" t="s">
        <v>346</v>
      </c>
      <c r="V22" s="1" t="s">
        <v>346</v>
      </c>
      <c r="W22" s="1" t="s">
        <v>346</v>
      </c>
      <c r="X22" s="1" t="s">
        <v>346</v>
      </c>
      <c r="Y22" s="1" t="s">
        <v>346</v>
      </c>
    </row>
    <row r="23" spans="1:25" x14ac:dyDescent="0.3">
      <c r="A23" s="1" t="s">
        <v>346</v>
      </c>
      <c r="B23" s="1" t="s">
        <v>346</v>
      </c>
      <c r="C23" s="1" t="s">
        <v>346</v>
      </c>
      <c r="D23" s="1" t="s">
        <v>346</v>
      </c>
      <c r="E23" s="1" t="s">
        <v>346</v>
      </c>
      <c r="F23" s="1" t="s">
        <v>346</v>
      </c>
      <c r="G23" s="1" t="s">
        <v>346</v>
      </c>
      <c r="H23" s="1" t="s">
        <v>346</v>
      </c>
      <c r="I23" s="1" t="s">
        <v>346</v>
      </c>
      <c r="J23" s="1" t="s">
        <v>346</v>
      </c>
      <c r="K23" s="1" t="s">
        <v>346</v>
      </c>
      <c r="L23" s="1" t="s">
        <v>346</v>
      </c>
      <c r="M23" s="1" t="s">
        <v>346</v>
      </c>
      <c r="N23" s="1" t="s">
        <v>346</v>
      </c>
      <c r="O23" s="1" t="s">
        <v>346</v>
      </c>
      <c r="P23" s="1" t="s">
        <v>346</v>
      </c>
      <c r="Q23" s="1" t="s">
        <v>346</v>
      </c>
      <c r="R23" s="1" t="s">
        <v>346</v>
      </c>
      <c r="S23" s="1" t="s">
        <v>346</v>
      </c>
      <c r="T23" s="1" t="s">
        <v>346</v>
      </c>
      <c r="U23" s="1" t="s">
        <v>346</v>
      </c>
      <c r="V23" s="1" t="s">
        <v>346</v>
      </c>
      <c r="W23" s="1" t="s">
        <v>346</v>
      </c>
      <c r="X23" s="1" t="s">
        <v>346</v>
      </c>
      <c r="Y23" s="1" t="s">
        <v>346</v>
      </c>
    </row>
    <row r="24" spans="1:25" x14ac:dyDescent="0.3">
      <c r="A24" s="1" t="s">
        <v>346</v>
      </c>
      <c r="B24" s="1" t="s">
        <v>346</v>
      </c>
      <c r="C24" s="1" t="s">
        <v>346</v>
      </c>
      <c r="D24" s="1" t="s">
        <v>346</v>
      </c>
      <c r="E24" s="1" t="s">
        <v>346</v>
      </c>
      <c r="F24" s="1" t="s">
        <v>346</v>
      </c>
      <c r="G24" s="1" t="s">
        <v>346</v>
      </c>
      <c r="H24" s="1" t="s">
        <v>346</v>
      </c>
      <c r="I24" s="1" t="s">
        <v>346</v>
      </c>
      <c r="J24" s="1" t="s">
        <v>346</v>
      </c>
      <c r="K24" s="1" t="s">
        <v>346</v>
      </c>
      <c r="L24" s="1" t="s">
        <v>346</v>
      </c>
      <c r="M24" s="1" t="s">
        <v>346</v>
      </c>
      <c r="N24" s="1" t="s">
        <v>346</v>
      </c>
      <c r="O24" s="1" t="s">
        <v>346</v>
      </c>
      <c r="P24" s="1" t="s">
        <v>346</v>
      </c>
      <c r="Q24" s="1" t="s">
        <v>346</v>
      </c>
      <c r="R24" s="1" t="s">
        <v>346</v>
      </c>
      <c r="S24" s="1" t="s">
        <v>346</v>
      </c>
      <c r="T24" s="1" t="s">
        <v>346</v>
      </c>
      <c r="U24" s="1" t="s">
        <v>346</v>
      </c>
      <c r="V24" s="1" t="s">
        <v>346</v>
      </c>
      <c r="W24" s="1" t="s">
        <v>346</v>
      </c>
      <c r="X24" s="1" t="s">
        <v>346</v>
      </c>
      <c r="Y24" s="1" t="s">
        <v>346</v>
      </c>
    </row>
    <row r="25" spans="1:25" x14ac:dyDescent="0.3">
      <c r="A25" s="1" t="s">
        <v>346</v>
      </c>
      <c r="B25" s="1" t="s">
        <v>346</v>
      </c>
      <c r="C25" s="1" t="s">
        <v>346</v>
      </c>
      <c r="D25" s="1" t="s">
        <v>346</v>
      </c>
      <c r="E25" s="1" t="s">
        <v>346</v>
      </c>
      <c r="F25" s="1" t="s">
        <v>346</v>
      </c>
      <c r="G25" s="1" t="s">
        <v>346</v>
      </c>
      <c r="H25" s="1" t="s">
        <v>346</v>
      </c>
      <c r="I25" s="1" t="s">
        <v>346</v>
      </c>
      <c r="J25" s="1" t="s">
        <v>346</v>
      </c>
      <c r="K25" s="1" t="s">
        <v>346</v>
      </c>
      <c r="L25" s="1" t="s">
        <v>346</v>
      </c>
      <c r="M25" s="1" t="s">
        <v>346</v>
      </c>
      <c r="N25" s="1" t="s">
        <v>346</v>
      </c>
      <c r="O25" s="1" t="s">
        <v>346</v>
      </c>
      <c r="P25" s="1" t="s">
        <v>346</v>
      </c>
      <c r="Q25" s="1" t="s">
        <v>346</v>
      </c>
      <c r="R25" s="1" t="s">
        <v>346</v>
      </c>
      <c r="S25" s="1" t="s">
        <v>346</v>
      </c>
      <c r="T25" s="1" t="s">
        <v>346</v>
      </c>
      <c r="U25" s="1" t="s">
        <v>346</v>
      </c>
      <c r="V25" s="1" t="s">
        <v>346</v>
      </c>
      <c r="W25" s="1" t="s">
        <v>346</v>
      </c>
      <c r="X25" s="1" t="s">
        <v>346</v>
      </c>
      <c r="Y25" s="1" t="s">
        <v>346</v>
      </c>
    </row>
    <row r="26" spans="1:25" x14ac:dyDescent="0.3">
      <c r="A26" s="1" t="s">
        <v>346</v>
      </c>
      <c r="B26" s="1" t="s">
        <v>346</v>
      </c>
      <c r="C26" s="1" t="s">
        <v>346</v>
      </c>
      <c r="D26" s="1" t="s">
        <v>346</v>
      </c>
      <c r="E26" s="1" t="s">
        <v>346</v>
      </c>
      <c r="F26" s="1" t="s">
        <v>346</v>
      </c>
      <c r="G26" s="1" t="s">
        <v>346</v>
      </c>
      <c r="H26" s="1" t="s">
        <v>346</v>
      </c>
      <c r="I26" s="1" t="s">
        <v>346</v>
      </c>
      <c r="J26" s="1" t="s">
        <v>346</v>
      </c>
      <c r="K26" s="1" t="s">
        <v>346</v>
      </c>
      <c r="L26" s="1" t="s">
        <v>346</v>
      </c>
      <c r="M26" s="1" t="s">
        <v>346</v>
      </c>
      <c r="N26" s="1" t="s">
        <v>346</v>
      </c>
      <c r="O26" s="1" t="s">
        <v>346</v>
      </c>
      <c r="P26" s="1" t="s">
        <v>346</v>
      </c>
      <c r="Q26" s="1" t="s">
        <v>346</v>
      </c>
      <c r="R26" s="1" t="s">
        <v>346</v>
      </c>
      <c r="S26" s="1" t="s">
        <v>346</v>
      </c>
      <c r="T26" s="1" t="s">
        <v>346</v>
      </c>
      <c r="U26" s="1" t="s">
        <v>346</v>
      </c>
      <c r="V26" s="1" t="s">
        <v>346</v>
      </c>
      <c r="W26" s="1" t="s">
        <v>346</v>
      </c>
      <c r="X26" s="1" t="s">
        <v>346</v>
      </c>
      <c r="Y26" s="1" t="s">
        <v>346</v>
      </c>
    </row>
    <row r="27" spans="1:25" x14ac:dyDescent="0.3">
      <c r="A27" s="1" t="s">
        <v>346</v>
      </c>
      <c r="B27" s="1" t="s">
        <v>346</v>
      </c>
      <c r="C27" s="1" t="s">
        <v>346</v>
      </c>
      <c r="D27" s="1" t="s">
        <v>346</v>
      </c>
      <c r="E27" s="1" t="s">
        <v>346</v>
      </c>
      <c r="F27" s="1" t="s">
        <v>346</v>
      </c>
      <c r="G27" s="1" t="s">
        <v>346</v>
      </c>
      <c r="H27" s="1" t="s">
        <v>346</v>
      </c>
      <c r="I27" s="1" t="s">
        <v>346</v>
      </c>
      <c r="J27" s="1" t="s">
        <v>346</v>
      </c>
      <c r="K27" s="1" t="s">
        <v>346</v>
      </c>
      <c r="L27" s="1" t="s">
        <v>346</v>
      </c>
      <c r="M27" s="1" t="s">
        <v>346</v>
      </c>
      <c r="N27" s="1" t="s">
        <v>346</v>
      </c>
      <c r="O27" s="1" t="s">
        <v>346</v>
      </c>
      <c r="P27" s="1" t="s">
        <v>346</v>
      </c>
      <c r="Q27" s="1" t="s">
        <v>346</v>
      </c>
      <c r="R27" s="1" t="s">
        <v>346</v>
      </c>
      <c r="S27" s="1" t="s">
        <v>346</v>
      </c>
      <c r="T27" s="1" t="s">
        <v>346</v>
      </c>
      <c r="U27" s="1" t="s">
        <v>346</v>
      </c>
      <c r="V27" s="1" t="s">
        <v>346</v>
      </c>
      <c r="W27" s="1" t="s">
        <v>346</v>
      </c>
      <c r="X27" s="1" t="s">
        <v>346</v>
      </c>
      <c r="Y27" s="1" t="s">
        <v>346</v>
      </c>
    </row>
    <row r="28" spans="1:25" x14ac:dyDescent="0.3">
      <c r="A28" s="1" t="s">
        <v>346</v>
      </c>
      <c r="B28" s="1" t="s">
        <v>346</v>
      </c>
      <c r="C28" s="1" t="s">
        <v>346</v>
      </c>
      <c r="D28" s="1" t="s">
        <v>346</v>
      </c>
      <c r="E28" s="1" t="s">
        <v>346</v>
      </c>
      <c r="F28" s="1" t="s">
        <v>346</v>
      </c>
      <c r="G28" s="1" t="s">
        <v>346</v>
      </c>
      <c r="H28" s="1" t="s">
        <v>346</v>
      </c>
      <c r="I28" s="1" t="s">
        <v>346</v>
      </c>
      <c r="J28" s="1" t="s">
        <v>346</v>
      </c>
      <c r="K28" s="1" t="s">
        <v>346</v>
      </c>
      <c r="L28" s="1" t="s">
        <v>346</v>
      </c>
      <c r="M28" s="1" t="s">
        <v>346</v>
      </c>
      <c r="N28" s="1" t="s">
        <v>346</v>
      </c>
      <c r="O28" s="1" t="s">
        <v>346</v>
      </c>
      <c r="P28" s="1" t="s">
        <v>346</v>
      </c>
      <c r="Q28" s="1" t="s">
        <v>346</v>
      </c>
      <c r="R28" s="1" t="s">
        <v>346</v>
      </c>
      <c r="S28" s="1" t="s">
        <v>346</v>
      </c>
      <c r="T28" s="1" t="s">
        <v>346</v>
      </c>
      <c r="U28" s="1" t="s">
        <v>346</v>
      </c>
      <c r="V28" s="1" t="s">
        <v>346</v>
      </c>
      <c r="W28" s="1" t="s">
        <v>346</v>
      </c>
      <c r="X28" s="1" t="s">
        <v>346</v>
      </c>
      <c r="Y28" s="1" t="s">
        <v>346</v>
      </c>
    </row>
  </sheetData>
  <mergeCells count="1">
    <mergeCell ref="H5:N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0</v>
      </c>
    </row>
    <row r="4" spans="2:3" x14ac:dyDescent="0.3">
      <c r="B4" s="1" t="s">
        <v>1</v>
      </c>
    </row>
    <row r="6" spans="2:3" x14ac:dyDescent="0.3">
      <c r="B6" s="1" t="s">
        <v>2</v>
      </c>
    </row>
    <row r="8" spans="2:3" x14ac:dyDescent="0.3">
      <c r="B8" s="1" t="s">
        <v>3</v>
      </c>
    </row>
    <row r="10" spans="2:3" x14ac:dyDescent="0.3">
      <c r="B10" s="1" t="s">
        <v>66</v>
      </c>
    </row>
    <row r="13" spans="2:3" x14ac:dyDescent="0.3">
      <c r="C13" s="22" t="s">
        <v>69</v>
      </c>
    </row>
    <row r="14" spans="2:3" x14ac:dyDescent="0.3">
      <c r="C14" s="1" t="s">
        <v>70</v>
      </c>
    </row>
    <row r="15" spans="2:3" x14ac:dyDescent="0.3">
      <c r="C15" s="1" t="s">
        <v>71</v>
      </c>
    </row>
    <row r="16" spans="2:3" x14ac:dyDescent="0.3">
      <c r="C16" s="1" t="s">
        <v>72</v>
      </c>
    </row>
    <row r="17" spans="2:3" x14ac:dyDescent="0.3">
      <c r="C17" s="1" t="s">
        <v>73</v>
      </c>
    </row>
    <row r="18" spans="2:3" x14ac:dyDescent="0.3">
      <c r="C18" s="1" t="s">
        <v>74</v>
      </c>
    </row>
    <row r="20" spans="2:3" x14ac:dyDescent="0.3">
      <c r="B20" s="1" t="s">
        <v>144</v>
      </c>
    </row>
    <row r="22" spans="2:3" x14ac:dyDescent="0.3">
      <c r="B22" s="1" t="s">
        <v>146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0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8</v>
      </c>
    </row>
    <row r="2" spans="1:1" x14ac:dyDescent="0.25">
      <c r="A2" s="2" t="s">
        <v>9</v>
      </c>
    </row>
    <row r="3" spans="1:1" x14ac:dyDescent="0.25">
      <c r="A3" s="2" t="s">
        <v>29</v>
      </c>
    </row>
    <row r="4" spans="1:1" x14ac:dyDescent="0.25">
      <c r="A4" s="2" t="s">
        <v>30</v>
      </c>
    </row>
    <row r="5" spans="1:1" x14ac:dyDescent="0.25">
      <c r="A5" s="2" t="s">
        <v>132</v>
      </c>
    </row>
    <row r="6" spans="1:1" x14ac:dyDescent="0.25">
      <c r="A6" s="2" t="s">
        <v>28</v>
      </c>
    </row>
    <row r="7" spans="1:1" x14ac:dyDescent="0.25">
      <c r="A7" s="2" t="s">
        <v>131</v>
      </c>
    </row>
    <row r="8" spans="1:1" x14ac:dyDescent="0.25">
      <c r="A8" s="2" t="s">
        <v>143</v>
      </c>
    </row>
    <row r="9" spans="1:1" x14ac:dyDescent="0.25">
      <c r="A9" s="2" t="s">
        <v>344</v>
      </c>
    </row>
    <row r="10" spans="1:1" x14ac:dyDescent="0.25">
      <c r="A10" s="2" t="s">
        <v>345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9"/>
    <col min="11" max="11" width="15.83203125" style="29" bestFit="1" customWidth="1"/>
    <col min="12" max="12" width="10.83203125" style="29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8</v>
      </c>
      <c r="L2" s="30" t="s">
        <v>111</v>
      </c>
      <c r="M2" s="31"/>
      <c r="N2" s="31"/>
      <c r="O2" s="31"/>
      <c r="P2" s="31"/>
      <c r="Q2" s="31"/>
      <c r="R2" s="31"/>
      <c r="S2" s="31"/>
      <c r="T2" s="31"/>
    </row>
    <row r="3" spans="2:20" x14ac:dyDescent="0.25">
      <c r="B3" s="3" t="s">
        <v>20</v>
      </c>
      <c r="C3" s="3"/>
      <c r="L3" s="30" t="s">
        <v>107</v>
      </c>
      <c r="M3" s="31"/>
      <c r="N3" s="31"/>
      <c r="O3" s="31"/>
      <c r="P3" s="31"/>
      <c r="Q3" s="31"/>
      <c r="R3" s="31"/>
      <c r="S3" s="31"/>
      <c r="T3" s="31"/>
    </row>
    <row r="4" spans="2:20" x14ac:dyDescent="0.25">
      <c r="B4" s="2" t="s">
        <v>19</v>
      </c>
      <c r="L4" s="30" t="s">
        <v>108</v>
      </c>
      <c r="M4" s="31"/>
      <c r="N4" s="31"/>
      <c r="O4" s="31"/>
      <c r="P4" s="31"/>
      <c r="Q4" s="31"/>
      <c r="R4" s="31"/>
      <c r="S4" s="31"/>
      <c r="T4" s="31"/>
    </row>
    <row r="5" spans="2:20" x14ac:dyDescent="0.25">
      <c r="B5" s="2" t="s">
        <v>18</v>
      </c>
      <c r="L5" s="30" t="s">
        <v>109</v>
      </c>
      <c r="M5" s="31"/>
      <c r="N5" s="31"/>
      <c r="O5" s="31"/>
      <c r="P5" s="31"/>
      <c r="Q5" s="31"/>
      <c r="R5" s="31"/>
      <c r="S5" s="31"/>
      <c r="T5" s="31"/>
    </row>
    <row r="6" spans="2:20" x14ac:dyDescent="0.25">
      <c r="L6" s="30" t="s">
        <v>110</v>
      </c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4" t="s">
        <v>4</v>
      </c>
      <c r="C7" s="4" t="s">
        <v>5</v>
      </c>
      <c r="E7" s="4" t="s">
        <v>8</v>
      </c>
      <c r="G7" s="29" t="s">
        <v>102</v>
      </c>
      <c r="H7" s="29" t="s">
        <v>103</v>
      </c>
      <c r="I7" s="29" t="s">
        <v>101</v>
      </c>
      <c r="J7" s="29" t="s">
        <v>104</v>
      </c>
    </row>
    <row r="8" spans="2:20" x14ac:dyDescent="0.25">
      <c r="B8" s="2" t="s">
        <v>6</v>
      </c>
      <c r="C8" s="2" t="s">
        <v>6</v>
      </c>
      <c r="E8" s="2" cm="1">
        <f t="array" ref="E8">SUM((B8:B27=C8:C27)*(C8:C27="Sick"))/SUM((C8:C27="Sick")*1)</f>
        <v>0.66666666666666663</v>
      </c>
      <c r="G8" s="29" t="str">
        <f>IF(B8="Sick","Positive","Negative")</f>
        <v>Positive</v>
      </c>
      <c r="H8" s="29" t="str">
        <f>IF(B8=C8,"True","False")</f>
        <v>True</v>
      </c>
      <c r="I8" s="29">
        <f>(H8="TRUE") * (G8="Positive")</f>
        <v>1</v>
      </c>
      <c r="J8" s="29">
        <f>(H8="False") * (G8="Negative")</f>
        <v>0</v>
      </c>
      <c r="K8" s="29" t="s">
        <v>101</v>
      </c>
    </row>
    <row r="9" spans="2:20" x14ac:dyDescent="0.25">
      <c r="B9" s="2" t="s">
        <v>7</v>
      </c>
      <c r="C9" s="2" t="s">
        <v>6</v>
      </c>
      <c r="G9" s="29" t="str">
        <f t="shared" ref="G9:G27" si="0">IF(B9="Sick","Positive","Negative")</f>
        <v>Negative</v>
      </c>
      <c r="H9" s="29" t="str">
        <f t="shared" ref="H9:H27" si="1">IF(B9=C9,"True","False")</f>
        <v>False</v>
      </c>
      <c r="I9" s="29">
        <f t="shared" ref="I9:I27" si="2">(H9="TRUE") * (G9="Positive")</f>
        <v>0</v>
      </c>
      <c r="J9" s="29">
        <f t="shared" ref="J9:J27" si="3">(H9="False") * (G9="Negative")</f>
        <v>1</v>
      </c>
      <c r="K9" s="29">
        <f>SUM(I8:I27)</f>
        <v>8</v>
      </c>
      <c r="M9" s="2" t="s">
        <v>106</v>
      </c>
      <c r="R9" s="2" t="s">
        <v>97</v>
      </c>
    </row>
    <row r="10" spans="2:20" x14ac:dyDescent="0.25">
      <c r="B10" s="2" t="s">
        <v>7</v>
      </c>
      <c r="C10" s="2" t="s">
        <v>6</v>
      </c>
      <c r="G10" s="29" t="str">
        <f t="shared" si="0"/>
        <v>Negative</v>
      </c>
      <c r="H10" s="29" t="str">
        <f t="shared" si="1"/>
        <v>False</v>
      </c>
      <c r="I10" s="29">
        <f t="shared" si="2"/>
        <v>0</v>
      </c>
      <c r="J10" s="29">
        <f t="shared" si="3"/>
        <v>1</v>
      </c>
    </row>
    <row r="11" spans="2:20" x14ac:dyDescent="0.25">
      <c r="B11" s="2" t="s">
        <v>7</v>
      </c>
      <c r="C11" s="2" t="s">
        <v>7</v>
      </c>
      <c r="G11" s="29" t="str">
        <f t="shared" si="0"/>
        <v>Negative</v>
      </c>
      <c r="H11" s="29" t="str">
        <f t="shared" si="1"/>
        <v>True</v>
      </c>
      <c r="I11" s="29">
        <f t="shared" si="2"/>
        <v>0</v>
      </c>
      <c r="J11" s="29">
        <f t="shared" si="3"/>
        <v>0</v>
      </c>
      <c r="K11" s="29" t="s">
        <v>104</v>
      </c>
      <c r="S11"/>
    </row>
    <row r="12" spans="2:20" x14ac:dyDescent="0.25">
      <c r="B12" s="2" t="s">
        <v>6</v>
      </c>
      <c r="C12" s="2" t="s">
        <v>7</v>
      </c>
      <c r="G12" s="29" t="str">
        <f t="shared" si="0"/>
        <v>Positive</v>
      </c>
      <c r="H12" s="29" t="str">
        <f t="shared" si="1"/>
        <v>False</v>
      </c>
      <c r="I12" s="29">
        <f t="shared" si="2"/>
        <v>0</v>
      </c>
      <c r="J12" s="29">
        <f t="shared" si="3"/>
        <v>0</v>
      </c>
      <c r="K12" s="29">
        <f>SUM(J8:J27)</f>
        <v>4</v>
      </c>
    </row>
    <row r="13" spans="2:20" x14ac:dyDescent="0.25">
      <c r="B13" s="2" t="s">
        <v>7</v>
      </c>
      <c r="C13" s="2" t="s">
        <v>7</v>
      </c>
      <c r="G13" s="29" t="str">
        <f t="shared" si="0"/>
        <v>Negative</v>
      </c>
      <c r="H13" s="29" t="str">
        <f t="shared" si="1"/>
        <v>True</v>
      </c>
      <c r="I13" s="29">
        <f t="shared" si="2"/>
        <v>0</v>
      </c>
      <c r="J13" s="29">
        <f t="shared" si="3"/>
        <v>0</v>
      </c>
    </row>
    <row r="14" spans="2:20" x14ac:dyDescent="0.25">
      <c r="B14" s="2" t="s">
        <v>6</v>
      </c>
      <c r="C14" s="2" t="s">
        <v>6</v>
      </c>
      <c r="G14" s="29" t="str">
        <f t="shared" si="0"/>
        <v>Positive</v>
      </c>
      <c r="H14" s="29" t="str">
        <f t="shared" si="1"/>
        <v>True</v>
      </c>
      <c r="I14" s="29">
        <f t="shared" si="2"/>
        <v>1</v>
      </c>
      <c r="J14" s="29">
        <f t="shared" si="3"/>
        <v>0</v>
      </c>
      <c r="K14" s="29" t="s">
        <v>105</v>
      </c>
    </row>
    <row r="15" spans="2:20" x14ac:dyDescent="0.25">
      <c r="B15" s="2" t="s">
        <v>7</v>
      </c>
      <c r="C15" s="2" t="s">
        <v>7</v>
      </c>
      <c r="G15" s="29" t="str">
        <f t="shared" si="0"/>
        <v>Negative</v>
      </c>
      <c r="H15" s="29" t="str">
        <f t="shared" si="1"/>
        <v>True</v>
      </c>
      <c r="I15" s="29">
        <f t="shared" si="2"/>
        <v>0</v>
      </c>
      <c r="J15" s="29">
        <f t="shared" si="3"/>
        <v>0</v>
      </c>
      <c r="K15" s="29">
        <f>K9/(K9+K12)</f>
        <v>0.66666666666666663</v>
      </c>
    </row>
    <row r="16" spans="2:20" x14ac:dyDescent="0.25">
      <c r="B16" s="2" t="s">
        <v>6</v>
      </c>
      <c r="C16" s="2" t="s">
        <v>6</v>
      </c>
      <c r="G16" s="29" t="str">
        <f t="shared" si="0"/>
        <v>Positive</v>
      </c>
      <c r="H16" s="29" t="str">
        <f t="shared" si="1"/>
        <v>True</v>
      </c>
      <c r="I16" s="29">
        <f t="shared" si="2"/>
        <v>1</v>
      </c>
      <c r="J16" s="29">
        <f t="shared" si="3"/>
        <v>0</v>
      </c>
    </row>
    <row r="17" spans="2:10" x14ac:dyDescent="0.25">
      <c r="B17" s="2" t="s">
        <v>7</v>
      </c>
      <c r="C17" s="2" t="s">
        <v>6</v>
      </c>
      <c r="G17" s="29" t="str">
        <f t="shared" si="0"/>
        <v>Negative</v>
      </c>
      <c r="H17" s="29" t="str">
        <f t="shared" si="1"/>
        <v>False</v>
      </c>
      <c r="I17" s="29">
        <f t="shared" si="2"/>
        <v>0</v>
      </c>
      <c r="J17" s="29">
        <f t="shared" si="3"/>
        <v>1</v>
      </c>
    </row>
    <row r="18" spans="2:10" x14ac:dyDescent="0.25">
      <c r="B18" s="2" t="s">
        <v>6</v>
      </c>
      <c r="C18" s="2" t="s">
        <v>6</v>
      </c>
      <c r="G18" s="29" t="str">
        <f t="shared" si="0"/>
        <v>Positive</v>
      </c>
      <c r="H18" s="29" t="str">
        <f t="shared" si="1"/>
        <v>True</v>
      </c>
      <c r="I18" s="29">
        <f t="shared" si="2"/>
        <v>1</v>
      </c>
      <c r="J18" s="29">
        <f t="shared" si="3"/>
        <v>0</v>
      </c>
    </row>
    <row r="19" spans="2:10" x14ac:dyDescent="0.25">
      <c r="B19" s="2" t="s">
        <v>6</v>
      </c>
      <c r="C19" s="2" t="s">
        <v>6</v>
      </c>
      <c r="G19" s="29" t="str">
        <f t="shared" si="0"/>
        <v>Positive</v>
      </c>
      <c r="H19" s="29" t="str">
        <f t="shared" si="1"/>
        <v>True</v>
      </c>
      <c r="I19" s="29">
        <f t="shared" si="2"/>
        <v>1</v>
      </c>
      <c r="J19" s="29">
        <f t="shared" si="3"/>
        <v>0</v>
      </c>
    </row>
    <row r="20" spans="2:10" x14ac:dyDescent="0.25">
      <c r="B20" s="2" t="s">
        <v>6</v>
      </c>
      <c r="C20" s="2" t="s">
        <v>7</v>
      </c>
      <c r="G20" s="29" t="str">
        <f t="shared" si="0"/>
        <v>Positive</v>
      </c>
      <c r="H20" s="29" t="str">
        <f t="shared" si="1"/>
        <v>False</v>
      </c>
      <c r="I20" s="29">
        <f t="shared" si="2"/>
        <v>0</v>
      </c>
      <c r="J20" s="29">
        <f t="shared" si="3"/>
        <v>0</v>
      </c>
    </row>
    <row r="21" spans="2:10" x14ac:dyDescent="0.25">
      <c r="B21" s="2" t="s">
        <v>7</v>
      </c>
      <c r="C21" s="2" t="s">
        <v>7</v>
      </c>
      <c r="G21" s="29" t="str">
        <f t="shared" si="0"/>
        <v>Negative</v>
      </c>
      <c r="H21" s="29" t="str">
        <f t="shared" si="1"/>
        <v>True</v>
      </c>
      <c r="I21" s="29">
        <f t="shared" si="2"/>
        <v>0</v>
      </c>
      <c r="J21" s="29">
        <f t="shared" si="3"/>
        <v>0</v>
      </c>
    </row>
    <row r="22" spans="2:10" x14ac:dyDescent="0.25">
      <c r="B22" s="2" t="s">
        <v>7</v>
      </c>
      <c r="C22" s="2" t="s">
        <v>6</v>
      </c>
      <c r="G22" s="29" t="str">
        <f t="shared" si="0"/>
        <v>Negative</v>
      </c>
      <c r="H22" s="29" t="str">
        <f t="shared" si="1"/>
        <v>False</v>
      </c>
      <c r="I22" s="29">
        <f t="shared" si="2"/>
        <v>0</v>
      </c>
      <c r="J22" s="29">
        <f t="shared" si="3"/>
        <v>1</v>
      </c>
    </row>
    <row r="23" spans="2:10" x14ac:dyDescent="0.25">
      <c r="B23" s="2" t="s">
        <v>6</v>
      </c>
      <c r="C23" s="2" t="s">
        <v>6</v>
      </c>
      <c r="G23" s="29" t="str">
        <f t="shared" si="0"/>
        <v>Positive</v>
      </c>
      <c r="H23" s="29" t="str">
        <f t="shared" si="1"/>
        <v>True</v>
      </c>
      <c r="I23" s="29">
        <f t="shared" si="2"/>
        <v>1</v>
      </c>
      <c r="J23" s="29">
        <f t="shared" si="3"/>
        <v>0</v>
      </c>
    </row>
    <row r="24" spans="2:10" x14ac:dyDescent="0.25">
      <c r="B24" s="2" t="s">
        <v>7</v>
      </c>
      <c r="C24" s="2" t="s">
        <v>7</v>
      </c>
      <c r="G24" s="29" t="str">
        <f t="shared" si="0"/>
        <v>Negative</v>
      </c>
      <c r="H24" s="29" t="str">
        <f t="shared" si="1"/>
        <v>True</v>
      </c>
      <c r="I24" s="29">
        <f t="shared" si="2"/>
        <v>0</v>
      </c>
      <c r="J24" s="29">
        <f t="shared" si="3"/>
        <v>0</v>
      </c>
    </row>
    <row r="25" spans="2:10" x14ac:dyDescent="0.25">
      <c r="B25" s="2" t="s">
        <v>7</v>
      </c>
      <c r="C25" s="2" t="s">
        <v>7</v>
      </c>
      <c r="G25" s="29" t="str">
        <f t="shared" si="0"/>
        <v>Negative</v>
      </c>
      <c r="H25" s="29" t="str">
        <f t="shared" si="1"/>
        <v>True</v>
      </c>
      <c r="I25" s="29">
        <f t="shared" si="2"/>
        <v>0</v>
      </c>
      <c r="J25" s="29">
        <f t="shared" si="3"/>
        <v>0</v>
      </c>
    </row>
    <row r="26" spans="2:10" x14ac:dyDescent="0.25">
      <c r="B26" s="2" t="s">
        <v>6</v>
      </c>
      <c r="C26" s="2" t="s">
        <v>6</v>
      </c>
      <c r="G26" s="29" t="str">
        <f t="shared" si="0"/>
        <v>Positive</v>
      </c>
      <c r="H26" s="29" t="str">
        <f t="shared" si="1"/>
        <v>True</v>
      </c>
      <c r="I26" s="29">
        <f t="shared" si="2"/>
        <v>1</v>
      </c>
      <c r="J26" s="29">
        <f t="shared" si="3"/>
        <v>0</v>
      </c>
    </row>
    <row r="27" spans="2:10" x14ac:dyDescent="0.25">
      <c r="B27" s="2" t="s">
        <v>6</v>
      </c>
      <c r="C27" s="2" t="s">
        <v>6</v>
      </c>
      <c r="G27" s="29" t="str">
        <f t="shared" si="0"/>
        <v>Positive</v>
      </c>
      <c r="H27" s="29" t="str">
        <f t="shared" si="1"/>
        <v>True</v>
      </c>
      <c r="I27" s="29">
        <f t="shared" si="2"/>
        <v>1</v>
      </c>
      <c r="J27" s="29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9</v>
      </c>
      <c r="H2" s="31"/>
      <c r="I2" s="31"/>
      <c r="J2" s="31"/>
      <c r="K2" s="31"/>
      <c r="L2" s="31"/>
      <c r="M2" s="31"/>
    </row>
    <row r="3" spans="2:13" x14ac:dyDescent="0.25">
      <c r="B3" s="3" t="s">
        <v>10</v>
      </c>
      <c r="C3" s="3"/>
      <c r="H3" s="31"/>
      <c r="I3" s="31" t="s">
        <v>112</v>
      </c>
      <c r="J3" s="31"/>
      <c r="K3" s="31"/>
      <c r="L3" s="31"/>
      <c r="M3" s="31"/>
    </row>
    <row r="4" spans="2:13" x14ac:dyDescent="0.25">
      <c r="B4" s="2" t="s">
        <v>11</v>
      </c>
      <c r="H4" s="31"/>
      <c r="I4" s="31"/>
      <c r="J4" s="31"/>
      <c r="K4" s="31"/>
      <c r="L4" s="31"/>
      <c r="M4" s="31"/>
    </row>
    <row r="5" spans="2:13" x14ac:dyDescent="0.25">
      <c r="B5" s="2" t="s">
        <v>12</v>
      </c>
    </row>
    <row r="7" spans="2:13" x14ac:dyDescent="0.25">
      <c r="B7" s="4" t="s">
        <v>4</v>
      </c>
      <c r="C7" s="4" t="s">
        <v>5</v>
      </c>
      <c r="E7" s="4" t="s">
        <v>9</v>
      </c>
    </row>
    <row r="8" spans="2:13" x14ac:dyDescent="0.25">
      <c r="B8" s="2" t="s">
        <v>6</v>
      </c>
      <c r="C8" s="2" t="s">
        <v>6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7</v>
      </c>
      <c r="C9" s="2" t="s">
        <v>6</v>
      </c>
    </row>
    <row r="10" spans="2:13" x14ac:dyDescent="0.25">
      <c r="B10" s="2" t="s">
        <v>6</v>
      </c>
      <c r="C10" s="2" t="s">
        <v>6</v>
      </c>
    </row>
    <row r="11" spans="2:13" x14ac:dyDescent="0.25">
      <c r="B11" s="2" t="s">
        <v>7</v>
      </c>
      <c r="C11" s="2" t="s">
        <v>7</v>
      </c>
      <c r="K11" s="2" t="s">
        <v>13</v>
      </c>
    </row>
    <row r="12" spans="2:13" x14ac:dyDescent="0.25">
      <c r="B12" s="2" t="s">
        <v>6</v>
      </c>
      <c r="C12" s="2" t="s">
        <v>7</v>
      </c>
    </row>
    <row r="13" spans="2:13" x14ac:dyDescent="0.25">
      <c r="B13" s="2" t="s">
        <v>7</v>
      </c>
      <c r="C13" s="2" t="s">
        <v>7</v>
      </c>
    </row>
    <row r="14" spans="2:13" x14ac:dyDescent="0.25">
      <c r="B14" s="2" t="s">
        <v>6</v>
      </c>
      <c r="C14" s="2" t="s">
        <v>6</v>
      </c>
    </row>
    <row r="15" spans="2:13" x14ac:dyDescent="0.25">
      <c r="B15" s="2" t="s">
        <v>7</v>
      </c>
      <c r="C15" s="2" t="s">
        <v>7</v>
      </c>
    </row>
    <row r="16" spans="2:13" x14ac:dyDescent="0.25">
      <c r="B16" s="2" t="s">
        <v>6</v>
      </c>
      <c r="C16" s="2" t="s">
        <v>6</v>
      </c>
    </row>
    <row r="17" spans="2:3" x14ac:dyDescent="0.25">
      <c r="B17" s="2" t="s">
        <v>7</v>
      </c>
      <c r="C17" s="2" t="s">
        <v>6</v>
      </c>
    </row>
    <row r="18" spans="2:3" x14ac:dyDescent="0.25">
      <c r="B18" s="2" t="s">
        <v>6</v>
      </c>
      <c r="C18" s="2" t="s">
        <v>6</v>
      </c>
    </row>
    <row r="19" spans="2:3" x14ac:dyDescent="0.25">
      <c r="B19" s="2" t="s">
        <v>6</v>
      </c>
      <c r="C19" s="2" t="s">
        <v>6</v>
      </c>
    </row>
    <row r="20" spans="2:3" x14ac:dyDescent="0.25">
      <c r="B20" s="2" t="s">
        <v>6</v>
      </c>
      <c r="C20" s="2" t="s">
        <v>7</v>
      </c>
    </row>
    <row r="21" spans="2:3" x14ac:dyDescent="0.25">
      <c r="B21" s="2" t="s">
        <v>7</v>
      </c>
      <c r="C21" s="2" t="s">
        <v>7</v>
      </c>
    </row>
    <row r="22" spans="2:3" x14ac:dyDescent="0.25">
      <c r="B22" s="2" t="s">
        <v>7</v>
      </c>
      <c r="C22" s="2" t="s">
        <v>6</v>
      </c>
    </row>
    <row r="23" spans="2:3" x14ac:dyDescent="0.25">
      <c r="B23" s="2" t="s">
        <v>6</v>
      </c>
      <c r="C23" s="2" t="s">
        <v>6</v>
      </c>
    </row>
    <row r="24" spans="2:3" x14ac:dyDescent="0.25">
      <c r="B24" s="2" t="s">
        <v>7</v>
      </c>
      <c r="C24" s="2" t="s">
        <v>7</v>
      </c>
    </row>
    <row r="25" spans="2:3" x14ac:dyDescent="0.25">
      <c r="B25" s="2" t="s">
        <v>7</v>
      </c>
      <c r="C25" s="2" t="s">
        <v>7</v>
      </c>
    </row>
    <row r="26" spans="2:3" x14ac:dyDescent="0.25">
      <c r="B26" s="2" t="s">
        <v>6</v>
      </c>
      <c r="C26" s="2" t="s">
        <v>6</v>
      </c>
    </row>
    <row r="27" spans="2:3" x14ac:dyDescent="0.25">
      <c r="B27" s="2" t="s">
        <v>7</v>
      </c>
      <c r="C27" s="2" t="s">
        <v>7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9"/>
    <col min="12" max="16384" width="10.83203125" style="5"/>
  </cols>
  <sheetData>
    <row r="2" spans="1:11" x14ac:dyDescent="0.2">
      <c r="B2" s="9" t="s">
        <v>23</v>
      </c>
      <c r="C2" s="9" t="s">
        <v>5</v>
      </c>
      <c r="J2" s="10" t="s">
        <v>26</v>
      </c>
      <c r="K2" s="10" t="s">
        <v>24</v>
      </c>
    </row>
    <row r="3" spans="1:11" x14ac:dyDescent="0.2">
      <c r="A3" s="9">
        <v>1</v>
      </c>
      <c r="B3" s="9">
        <f ca="1">IF(C3="Bomb",_xlfn.NORM.INV(RAND(),0.7,0.1),_xlfn.NORM.INV(RAND(),0.6,0.15))</f>
        <v>0.89646464407404325</v>
      </c>
      <c r="C3" s="9" t="str">
        <f ca="1">IF(RAND()&lt;0.5,"Bomb","Bird")</f>
        <v>Bomb</v>
      </c>
      <c r="E3" s="9" t="s">
        <v>25</v>
      </c>
      <c r="J3" s="11">
        <f ca="1">F7</f>
        <v>0</v>
      </c>
      <c r="K3" s="11">
        <f ca="1">E7</f>
        <v>1</v>
      </c>
    </row>
    <row r="4" spans="1:11" x14ac:dyDescent="0.2">
      <c r="A4" s="9">
        <v>2</v>
      </c>
      <c r="B4" s="9">
        <f t="shared" ref="B4:B67" ca="1" si="0">IF(C4="Bomb",_xlfn.NORM.INV(RAND(),0.7,0.1),_xlfn.NORM.INV(RAND(),0.6,0.15))</f>
        <v>0.83487379425574404</v>
      </c>
      <c r="C4" s="9" t="s">
        <v>21</v>
      </c>
      <c r="E4" s="11">
        <v>0.03</v>
      </c>
      <c r="I4" s="11">
        <v>0.03</v>
      </c>
      <c r="J4" s="12">
        <f t="dataTable" ref="J4:K36" dt2D="0" dtr="0" r1="E4" ca="1"/>
        <v>0</v>
      </c>
      <c r="K4" s="12">
        <v>1</v>
      </c>
    </row>
    <row r="5" spans="1:11" x14ac:dyDescent="0.2">
      <c r="A5" s="9">
        <v>3</v>
      </c>
      <c r="B5" s="9">
        <f t="shared" ca="1" si="0"/>
        <v>0.70920826307562335</v>
      </c>
      <c r="C5" s="9" t="s">
        <v>22</v>
      </c>
      <c r="I5" s="11">
        <v>0.06</v>
      </c>
      <c r="J5" s="12">
        <v>0</v>
      </c>
      <c r="K5" s="12">
        <v>1</v>
      </c>
    </row>
    <row r="6" spans="1:11" x14ac:dyDescent="0.2">
      <c r="A6" s="9">
        <v>4</v>
      </c>
      <c r="B6" s="9">
        <f t="shared" ca="1" si="0"/>
        <v>0.79274963534772702</v>
      </c>
      <c r="C6" s="9" t="s">
        <v>21</v>
      </c>
      <c r="E6" s="10" t="s">
        <v>24</v>
      </c>
      <c r="F6" s="10" t="s">
        <v>26</v>
      </c>
      <c r="I6" s="11">
        <v>0.09</v>
      </c>
      <c r="J6" s="12">
        <v>0</v>
      </c>
      <c r="K6" s="12">
        <v>1</v>
      </c>
    </row>
    <row r="7" spans="1:11" x14ac:dyDescent="0.2">
      <c r="A7" s="9">
        <v>5</v>
      </c>
      <c r="B7" s="9">
        <f t="shared" ca="1" si="0"/>
        <v>0.73452636664468962</v>
      </c>
      <c r="C7" s="9" t="s">
        <v>21</v>
      </c>
      <c r="E7" s="12">
        <f ca="1">COUNTIFS(B:B,"&gt;" &amp;E4,C:C,"="&amp;"Bomb")/COUNTIFS(C:C,"="&amp;"Bomb")</f>
        <v>1</v>
      </c>
      <c r="F7" s="12">
        <f ca="1">COUNTIFS(B:B,"&lt;" &amp;E4,C:C,"="&amp;"Bird")/COUNTIFS(C:C,"="&amp;"Bird")</f>
        <v>0</v>
      </c>
      <c r="I7" s="11">
        <v>0.12</v>
      </c>
      <c r="J7" s="12">
        <v>0</v>
      </c>
      <c r="K7" s="12">
        <v>1</v>
      </c>
    </row>
    <row r="8" spans="1:11" x14ac:dyDescent="0.2">
      <c r="A8" s="9">
        <v>6</v>
      </c>
      <c r="B8" s="9">
        <f t="shared" ca="1" si="0"/>
        <v>0.65100340503975751</v>
      </c>
      <c r="C8" s="9" t="s">
        <v>21</v>
      </c>
      <c r="I8" s="11">
        <v>0.15</v>
      </c>
      <c r="J8" s="12">
        <v>0</v>
      </c>
      <c r="K8" s="12">
        <v>1</v>
      </c>
    </row>
    <row r="9" spans="1:11" x14ac:dyDescent="0.2">
      <c r="A9" s="9">
        <v>7</v>
      </c>
      <c r="B9" s="9">
        <f t="shared" ca="1" si="0"/>
        <v>0.66188850698707169</v>
      </c>
      <c r="C9" s="9" t="s">
        <v>21</v>
      </c>
      <c r="I9" s="11">
        <v>0.18</v>
      </c>
      <c r="J9" s="12">
        <v>3.8986354775828458E-3</v>
      </c>
      <c r="K9" s="12">
        <v>1</v>
      </c>
    </row>
    <row r="10" spans="1:11" x14ac:dyDescent="0.2">
      <c r="A10" s="9">
        <v>8</v>
      </c>
      <c r="B10" s="9">
        <f t="shared" ca="1" si="0"/>
        <v>0.37445880724063235</v>
      </c>
      <c r="C10" s="9" t="s">
        <v>22</v>
      </c>
      <c r="I10" s="11">
        <v>0.21</v>
      </c>
      <c r="J10" s="12">
        <v>5.8365758754863814E-3</v>
      </c>
      <c r="K10" s="12">
        <v>1</v>
      </c>
    </row>
    <row r="11" spans="1:11" x14ac:dyDescent="0.2">
      <c r="A11" s="9">
        <v>9</v>
      </c>
      <c r="B11" s="9">
        <f t="shared" ca="1" si="0"/>
        <v>0.78827215202133227</v>
      </c>
      <c r="C11" s="9" t="s">
        <v>22</v>
      </c>
      <c r="I11" s="11">
        <v>0.24</v>
      </c>
      <c r="J11" s="12">
        <v>7.7821011673151752E-3</v>
      </c>
      <c r="K11" s="12">
        <v>1</v>
      </c>
    </row>
    <row r="12" spans="1:11" x14ac:dyDescent="0.2">
      <c r="A12" s="9">
        <v>10</v>
      </c>
      <c r="B12" s="9">
        <f t="shared" ca="1" si="0"/>
        <v>0.80440679057930975</v>
      </c>
      <c r="C12" s="9" t="s">
        <v>22</v>
      </c>
      <c r="I12" s="11">
        <v>0.27</v>
      </c>
      <c r="J12" s="12">
        <v>1.3618677042801557E-2</v>
      </c>
      <c r="K12" s="12">
        <v>1</v>
      </c>
    </row>
    <row r="13" spans="1:11" x14ac:dyDescent="0.2">
      <c r="A13" s="9">
        <v>11</v>
      </c>
      <c r="B13" s="9">
        <f t="shared" ca="1" si="0"/>
        <v>0.60693200031791461</v>
      </c>
      <c r="C13" s="9" t="s">
        <v>22</v>
      </c>
      <c r="I13" s="11">
        <v>0.3</v>
      </c>
      <c r="J13" s="12">
        <v>2.9182879377431907E-2</v>
      </c>
      <c r="K13" s="12">
        <v>1</v>
      </c>
    </row>
    <row r="14" spans="1:11" x14ac:dyDescent="0.2">
      <c r="A14" s="9">
        <v>12</v>
      </c>
      <c r="B14" s="9">
        <f t="shared" ca="1" si="0"/>
        <v>0.77372256282861329</v>
      </c>
      <c r="C14" s="9" t="s">
        <v>22</v>
      </c>
      <c r="I14" s="11">
        <v>0.33</v>
      </c>
      <c r="J14" s="12">
        <v>3.5087719298245612E-2</v>
      </c>
      <c r="K14" s="12">
        <v>1</v>
      </c>
    </row>
    <row r="15" spans="1:11" x14ac:dyDescent="0.2">
      <c r="A15" s="9">
        <v>13</v>
      </c>
      <c r="B15" s="9">
        <f t="shared" ca="1" si="0"/>
        <v>0.85841633262780703</v>
      </c>
      <c r="C15" s="9" t="s">
        <v>21</v>
      </c>
      <c r="I15" s="11">
        <v>0.36</v>
      </c>
      <c r="J15" s="12">
        <v>5.6530214424951264E-2</v>
      </c>
      <c r="K15" s="12">
        <v>1</v>
      </c>
    </row>
    <row r="16" spans="1:11" x14ac:dyDescent="0.2">
      <c r="A16" s="9">
        <v>14</v>
      </c>
      <c r="B16" s="9">
        <f t="shared" ca="1" si="0"/>
        <v>0.76051140800169093</v>
      </c>
      <c r="C16" s="9" t="s">
        <v>21</v>
      </c>
      <c r="I16" s="11">
        <v>0.39</v>
      </c>
      <c r="J16" s="12">
        <v>9.1617933723196876E-2</v>
      </c>
      <c r="K16" s="12">
        <v>0.99794661190965095</v>
      </c>
    </row>
    <row r="17" spans="1:11" x14ac:dyDescent="0.2">
      <c r="A17" s="9">
        <v>15</v>
      </c>
      <c r="B17" s="9">
        <f t="shared" ca="1" si="0"/>
        <v>0.6284077566217704</v>
      </c>
      <c r="C17" s="9" t="s">
        <v>21</v>
      </c>
      <c r="I17" s="11">
        <v>0.42</v>
      </c>
      <c r="J17" s="12">
        <v>0.10916179337231968</v>
      </c>
      <c r="K17" s="12">
        <v>1</v>
      </c>
    </row>
    <row r="18" spans="1:11" x14ac:dyDescent="0.2">
      <c r="A18" s="9">
        <v>16</v>
      </c>
      <c r="B18" s="9">
        <f t="shared" ca="1" si="0"/>
        <v>0.60940329493418821</v>
      </c>
      <c r="C18" s="9" t="s">
        <v>22</v>
      </c>
      <c r="I18" s="11">
        <v>0.45</v>
      </c>
      <c r="J18" s="12">
        <v>0.14035087719298245</v>
      </c>
      <c r="K18" s="12">
        <v>0.98562628336755642</v>
      </c>
    </row>
    <row r="19" spans="1:11" x14ac:dyDescent="0.2">
      <c r="A19" s="9">
        <v>17</v>
      </c>
      <c r="B19" s="9">
        <f t="shared" ca="1" si="0"/>
        <v>0.74520653392825709</v>
      </c>
      <c r="C19" s="9" t="s">
        <v>21</v>
      </c>
      <c r="I19" s="11">
        <v>0.48</v>
      </c>
      <c r="J19" s="12">
        <v>0.23196881091617932</v>
      </c>
      <c r="K19" s="12">
        <v>0.98767967145790558</v>
      </c>
    </row>
    <row r="20" spans="1:11" x14ac:dyDescent="0.2">
      <c r="A20" s="9">
        <v>18</v>
      </c>
      <c r="B20" s="9">
        <f t="shared" ca="1" si="0"/>
        <v>0.4481922330577367</v>
      </c>
      <c r="C20" s="9" t="s">
        <v>22</v>
      </c>
      <c r="I20" s="11">
        <v>0.51</v>
      </c>
      <c r="J20" s="12">
        <v>0.25680933852140075</v>
      </c>
      <c r="K20" s="12">
        <v>0.97325102880658432</v>
      </c>
    </row>
    <row r="21" spans="1:11" x14ac:dyDescent="0.2">
      <c r="A21" s="9">
        <v>19</v>
      </c>
      <c r="B21" s="9">
        <f t="shared" ca="1" si="0"/>
        <v>0.67831098777899024</v>
      </c>
      <c r="C21" s="9" t="s">
        <v>21</v>
      </c>
      <c r="I21" s="11">
        <v>0.54</v>
      </c>
      <c r="J21" s="12">
        <v>0.36381322957198442</v>
      </c>
      <c r="K21" s="12">
        <v>0.94032921810699588</v>
      </c>
    </row>
    <row r="22" spans="1:11" x14ac:dyDescent="0.2">
      <c r="A22" s="9">
        <v>20</v>
      </c>
      <c r="B22" s="9">
        <f t="shared" ca="1" si="0"/>
        <v>0.62411906184692656</v>
      </c>
      <c r="C22" s="9" t="s">
        <v>21</v>
      </c>
      <c r="I22" s="11">
        <v>0.56999999999999995</v>
      </c>
      <c r="J22" s="12">
        <v>0.43968871595330739</v>
      </c>
      <c r="K22" s="12">
        <v>0.92181069958847739</v>
      </c>
    </row>
    <row r="23" spans="1:11" x14ac:dyDescent="0.2">
      <c r="A23" s="9">
        <v>21</v>
      </c>
      <c r="B23" s="9">
        <f t="shared" ca="1" si="0"/>
        <v>0.71515792015832069</v>
      </c>
      <c r="C23" s="9" t="s">
        <v>21</v>
      </c>
      <c r="I23" s="11">
        <v>0.6</v>
      </c>
      <c r="J23" s="12">
        <v>0.4853801169590643</v>
      </c>
      <c r="K23" s="12">
        <v>0.85215605749486656</v>
      </c>
    </row>
    <row r="24" spans="1:11" x14ac:dyDescent="0.2">
      <c r="A24" s="9">
        <v>22</v>
      </c>
      <c r="B24" s="9">
        <f t="shared" ca="1" si="0"/>
        <v>0.73390714986104744</v>
      </c>
      <c r="C24" s="9" t="s">
        <v>22</v>
      </c>
      <c r="I24" s="11">
        <v>0.63</v>
      </c>
      <c r="J24" s="12">
        <v>0.57504873294346981</v>
      </c>
      <c r="K24" s="12">
        <v>0.77002053388090352</v>
      </c>
    </row>
    <row r="25" spans="1:11" x14ac:dyDescent="0.2">
      <c r="A25" s="9">
        <v>23</v>
      </c>
      <c r="B25" s="9">
        <f t="shared" ca="1" si="0"/>
        <v>0.62627481756044046</v>
      </c>
      <c r="C25" s="9" t="s">
        <v>21</v>
      </c>
      <c r="I25" s="11">
        <v>0.66</v>
      </c>
      <c r="J25" s="12">
        <v>0.62962962962962965</v>
      </c>
      <c r="K25" s="12">
        <v>0.6386036960985626</v>
      </c>
    </row>
    <row r="26" spans="1:11" x14ac:dyDescent="0.2">
      <c r="A26" s="9">
        <v>24</v>
      </c>
      <c r="B26" s="9">
        <f t="shared" ca="1" si="0"/>
        <v>0.58869090035236249</v>
      </c>
      <c r="C26" s="9" t="s">
        <v>21</v>
      </c>
      <c r="I26" s="11">
        <v>0.69</v>
      </c>
      <c r="J26" s="12">
        <v>0.73929961089494167</v>
      </c>
      <c r="K26" s="12">
        <v>0.55349794238683125</v>
      </c>
    </row>
    <row r="27" spans="1:11" x14ac:dyDescent="0.2">
      <c r="A27" s="9">
        <v>25</v>
      </c>
      <c r="B27" s="9">
        <f t="shared" ca="1" si="0"/>
        <v>0.76387560063352478</v>
      </c>
      <c r="C27" s="9" t="s">
        <v>21</v>
      </c>
      <c r="I27" s="11">
        <v>0.72</v>
      </c>
      <c r="J27" s="12">
        <v>0.80701754385964908</v>
      </c>
      <c r="K27" s="12">
        <v>0.39835728952772076</v>
      </c>
    </row>
    <row r="28" spans="1:11" x14ac:dyDescent="0.2">
      <c r="A28" s="9">
        <v>26</v>
      </c>
      <c r="B28" s="9">
        <f t="shared" ca="1" si="0"/>
        <v>0.59868528653135411</v>
      </c>
      <c r="C28" s="9" t="s">
        <v>21</v>
      </c>
      <c r="I28" s="11">
        <v>0.75</v>
      </c>
      <c r="J28" s="12">
        <v>0.80544747081712065</v>
      </c>
      <c r="K28" s="12">
        <v>0.33744855967078191</v>
      </c>
    </row>
    <row r="29" spans="1:11" x14ac:dyDescent="0.2">
      <c r="A29" s="9">
        <v>27</v>
      </c>
      <c r="B29" s="9">
        <f t="shared" ca="1" si="0"/>
        <v>0.4342194037335384</v>
      </c>
      <c r="C29" s="9" t="s">
        <v>22</v>
      </c>
      <c r="I29" s="11">
        <v>0.78</v>
      </c>
      <c r="J29" s="12">
        <v>0.88499025341130599</v>
      </c>
      <c r="K29" s="12">
        <v>0.2299794661190965</v>
      </c>
    </row>
    <row r="30" spans="1:11" x14ac:dyDescent="0.2">
      <c r="A30" s="9">
        <v>28</v>
      </c>
      <c r="B30" s="9">
        <f t="shared" ca="1" si="0"/>
        <v>0.802123164990444</v>
      </c>
      <c r="C30" s="9" t="s">
        <v>21</v>
      </c>
      <c r="I30" s="11">
        <v>0.81</v>
      </c>
      <c r="J30" s="12">
        <v>0.90856031128404668</v>
      </c>
      <c r="K30" s="12">
        <v>0.15637860082304528</v>
      </c>
    </row>
    <row r="31" spans="1:11" x14ac:dyDescent="0.2">
      <c r="A31" s="9">
        <v>29</v>
      </c>
      <c r="B31" s="9">
        <f t="shared" ca="1" si="0"/>
        <v>0.49757432868681423</v>
      </c>
      <c r="C31" s="9" t="s">
        <v>22</v>
      </c>
      <c r="I31" s="11">
        <v>0.84</v>
      </c>
      <c r="J31" s="12">
        <v>0.95516569200779722</v>
      </c>
      <c r="K31" s="12">
        <v>8.0082135523613956E-2</v>
      </c>
    </row>
    <row r="32" spans="1:11" x14ac:dyDescent="0.2">
      <c r="A32" s="9">
        <v>30</v>
      </c>
      <c r="B32" s="9">
        <f t="shared" ca="1" si="0"/>
        <v>0.85854632805415765</v>
      </c>
      <c r="C32" s="9" t="s">
        <v>21</v>
      </c>
      <c r="I32" s="11">
        <v>0.87</v>
      </c>
      <c r="J32" s="12">
        <v>0.96881091617933723</v>
      </c>
      <c r="K32" s="12">
        <v>4.1067761806981518E-2</v>
      </c>
    </row>
    <row r="33" spans="1:11" x14ac:dyDescent="0.2">
      <c r="A33" s="9">
        <v>31</v>
      </c>
      <c r="B33" s="9">
        <f t="shared" ca="1" si="0"/>
        <v>0.68898736991670217</v>
      </c>
      <c r="C33" s="9" t="s">
        <v>21</v>
      </c>
      <c r="I33" s="11">
        <v>0.9</v>
      </c>
      <c r="J33" s="12">
        <v>0.9688715953307393</v>
      </c>
      <c r="K33" s="12">
        <v>2.4691358024691357E-2</v>
      </c>
    </row>
    <row r="34" spans="1:11" x14ac:dyDescent="0.2">
      <c r="A34" s="9">
        <v>32</v>
      </c>
      <c r="B34" s="9">
        <f t="shared" ca="1" si="0"/>
        <v>0.51366275970757991</v>
      </c>
      <c r="C34" s="9" t="s">
        <v>22</v>
      </c>
      <c r="I34" s="11">
        <v>0.93</v>
      </c>
      <c r="J34" s="12">
        <v>0.98832684824902728</v>
      </c>
      <c r="K34" s="12">
        <v>8.23045267489712E-3</v>
      </c>
    </row>
    <row r="35" spans="1:11" x14ac:dyDescent="0.2">
      <c r="A35" s="9">
        <v>33</v>
      </c>
      <c r="B35" s="9">
        <f t="shared" ca="1" si="0"/>
        <v>0.38185427477959344</v>
      </c>
      <c r="C35" s="9" t="s">
        <v>22</v>
      </c>
      <c r="I35" s="11">
        <v>0.96</v>
      </c>
      <c r="J35" s="12">
        <v>0.98832684824902728</v>
      </c>
      <c r="K35" s="12">
        <v>4.11522633744856E-3</v>
      </c>
    </row>
    <row r="36" spans="1:11" x14ac:dyDescent="0.2">
      <c r="A36" s="9">
        <v>34</v>
      </c>
      <c r="B36" s="9">
        <f t="shared" ca="1" si="0"/>
        <v>0.60524713754999349</v>
      </c>
      <c r="C36" s="9" t="s">
        <v>22</v>
      </c>
      <c r="I36" s="11">
        <v>0.99</v>
      </c>
      <c r="J36" s="12">
        <v>0.98830409356725146</v>
      </c>
      <c r="K36" s="12">
        <v>0</v>
      </c>
    </row>
    <row r="37" spans="1:11" x14ac:dyDescent="0.2">
      <c r="A37" s="9">
        <v>35</v>
      </c>
      <c r="B37" s="9">
        <f t="shared" ca="1" si="0"/>
        <v>0.70671596595130748</v>
      </c>
      <c r="C37" s="9" t="s">
        <v>21</v>
      </c>
      <c r="I37" s="11"/>
    </row>
    <row r="38" spans="1:11" x14ac:dyDescent="0.2">
      <c r="A38" s="9">
        <v>36</v>
      </c>
      <c r="B38" s="9">
        <f t="shared" ca="1" si="0"/>
        <v>0.73320174466774801</v>
      </c>
      <c r="C38" s="9" t="s">
        <v>22</v>
      </c>
    </row>
    <row r="39" spans="1:11" x14ac:dyDescent="0.2">
      <c r="A39" s="9">
        <v>37</v>
      </c>
      <c r="B39" s="9">
        <f t="shared" ca="1" si="0"/>
        <v>0.81484048030990752</v>
      </c>
      <c r="C39" s="9" t="s">
        <v>22</v>
      </c>
    </row>
    <row r="40" spans="1:11" x14ac:dyDescent="0.2">
      <c r="A40" s="9">
        <v>38</v>
      </c>
      <c r="B40" s="9">
        <f t="shared" ca="1" si="0"/>
        <v>0.70893845461072447</v>
      </c>
      <c r="C40" s="9" t="s">
        <v>21</v>
      </c>
    </row>
    <row r="41" spans="1:11" x14ac:dyDescent="0.2">
      <c r="A41" s="9">
        <v>39</v>
      </c>
      <c r="B41" s="9">
        <f t="shared" ca="1" si="0"/>
        <v>0.41401758193236626</v>
      </c>
      <c r="C41" s="9" t="s">
        <v>22</v>
      </c>
    </row>
    <row r="42" spans="1:11" x14ac:dyDescent="0.2">
      <c r="A42" s="9">
        <v>40</v>
      </c>
      <c r="B42" s="9">
        <f t="shared" ca="1" si="0"/>
        <v>0.6899591766634644</v>
      </c>
      <c r="C42" s="9" t="s">
        <v>21</v>
      </c>
    </row>
    <row r="43" spans="1:11" x14ac:dyDescent="0.2">
      <c r="A43" s="9">
        <v>41</v>
      </c>
      <c r="B43" s="9">
        <f t="shared" ca="1" si="0"/>
        <v>0.47962472043502996</v>
      </c>
      <c r="C43" s="9" t="s">
        <v>22</v>
      </c>
    </row>
    <row r="44" spans="1:11" x14ac:dyDescent="0.2">
      <c r="A44" s="9">
        <v>42</v>
      </c>
      <c r="B44" s="9">
        <f t="shared" ca="1" si="0"/>
        <v>0.47958759100046361</v>
      </c>
      <c r="C44" s="9" t="s">
        <v>22</v>
      </c>
    </row>
    <row r="45" spans="1:11" x14ac:dyDescent="0.2">
      <c r="A45" s="9">
        <v>43</v>
      </c>
      <c r="B45" s="9">
        <f t="shared" ca="1" si="0"/>
        <v>0.3784026125910287</v>
      </c>
      <c r="C45" s="9" t="s">
        <v>22</v>
      </c>
    </row>
    <row r="46" spans="1:11" x14ac:dyDescent="0.2">
      <c r="A46" s="9">
        <v>44</v>
      </c>
      <c r="B46" s="9">
        <f t="shared" ca="1" si="0"/>
        <v>0.77253838258628105</v>
      </c>
      <c r="C46" s="9" t="s">
        <v>22</v>
      </c>
    </row>
    <row r="47" spans="1:11" x14ac:dyDescent="0.2">
      <c r="A47" s="9">
        <v>45</v>
      </c>
      <c r="B47" s="9">
        <f t="shared" ca="1" si="0"/>
        <v>0.59663680281457243</v>
      </c>
      <c r="C47" s="9" t="s">
        <v>22</v>
      </c>
    </row>
    <row r="48" spans="1:11" x14ac:dyDescent="0.2">
      <c r="A48" s="9">
        <v>46</v>
      </c>
      <c r="B48" s="9">
        <f t="shared" ca="1" si="0"/>
        <v>0.58397859463377522</v>
      </c>
      <c r="C48" s="9" t="s">
        <v>21</v>
      </c>
    </row>
    <row r="49" spans="1:3" x14ac:dyDescent="0.2">
      <c r="A49" s="9">
        <v>47</v>
      </c>
      <c r="B49" s="9">
        <f t="shared" ca="1" si="0"/>
        <v>0.66813948498077613</v>
      </c>
      <c r="C49" s="9" t="s">
        <v>21</v>
      </c>
    </row>
    <row r="50" spans="1:3" x14ac:dyDescent="0.2">
      <c r="A50" s="9">
        <v>48</v>
      </c>
      <c r="B50" s="9">
        <f t="shared" ca="1" si="0"/>
        <v>0.43056404825702332</v>
      </c>
      <c r="C50" s="9" t="s">
        <v>22</v>
      </c>
    </row>
    <row r="51" spans="1:3" x14ac:dyDescent="0.2">
      <c r="A51" s="9">
        <v>49</v>
      </c>
      <c r="B51" s="9">
        <f t="shared" ca="1" si="0"/>
        <v>0.61148055788526756</v>
      </c>
      <c r="C51" s="9" t="s">
        <v>21</v>
      </c>
    </row>
    <row r="52" spans="1:3" x14ac:dyDescent="0.2">
      <c r="A52" s="9">
        <v>50</v>
      </c>
      <c r="B52" s="9">
        <f t="shared" ca="1" si="0"/>
        <v>0.674442638251879</v>
      </c>
      <c r="C52" s="9" t="s">
        <v>21</v>
      </c>
    </row>
    <row r="53" spans="1:3" x14ac:dyDescent="0.2">
      <c r="A53" s="9">
        <v>51</v>
      </c>
      <c r="B53" s="9">
        <f t="shared" ca="1" si="0"/>
        <v>0.75336528135358194</v>
      </c>
      <c r="C53" s="9" t="s">
        <v>21</v>
      </c>
    </row>
    <row r="54" spans="1:3" x14ac:dyDescent="0.2">
      <c r="A54" s="9">
        <v>52</v>
      </c>
      <c r="B54" s="9">
        <f t="shared" ca="1" si="0"/>
        <v>0.80539011129845017</v>
      </c>
      <c r="C54" s="9" t="s">
        <v>22</v>
      </c>
    </row>
    <row r="55" spans="1:3" x14ac:dyDescent="0.2">
      <c r="A55" s="9">
        <v>53</v>
      </c>
      <c r="B55" s="9">
        <f t="shared" ca="1" si="0"/>
        <v>0.77009029555784725</v>
      </c>
      <c r="C55" s="9" t="s">
        <v>22</v>
      </c>
    </row>
    <row r="56" spans="1:3" x14ac:dyDescent="0.2">
      <c r="A56" s="9">
        <v>54</v>
      </c>
      <c r="B56" s="9">
        <f t="shared" ca="1" si="0"/>
        <v>0.6957308473432614</v>
      </c>
      <c r="C56" s="9" t="s">
        <v>21</v>
      </c>
    </row>
    <row r="57" spans="1:3" x14ac:dyDescent="0.2">
      <c r="A57" s="9">
        <v>55</v>
      </c>
      <c r="B57" s="9">
        <f t="shared" ca="1" si="0"/>
        <v>0.52200129804282069</v>
      </c>
      <c r="C57" s="9" t="s">
        <v>21</v>
      </c>
    </row>
    <row r="58" spans="1:3" x14ac:dyDescent="0.2">
      <c r="A58" s="9">
        <v>56</v>
      </c>
      <c r="B58" s="9">
        <f t="shared" ca="1" si="0"/>
        <v>0.71735206109866911</v>
      </c>
      <c r="C58" s="9" t="s">
        <v>21</v>
      </c>
    </row>
    <row r="59" spans="1:3" x14ac:dyDescent="0.2">
      <c r="A59" s="9">
        <v>57</v>
      </c>
      <c r="B59" s="9">
        <f t="shared" ca="1" si="0"/>
        <v>0.85171019997123709</v>
      </c>
      <c r="C59" s="9" t="s">
        <v>22</v>
      </c>
    </row>
    <row r="60" spans="1:3" x14ac:dyDescent="0.2">
      <c r="A60" s="9">
        <v>58</v>
      </c>
      <c r="B60" s="9">
        <f t="shared" ca="1" si="0"/>
        <v>0.91237036092004709</v>
      </c>
      <c r="C60" s="9" t="s">
        <v>21</v>
      </c>
    </row>
    <row r="61" spans="1:3" x14ac:dyDescent="0.2">
      <c r="A61" s="9">
        <v>59</v>
      </c>
      <c r="B61" s="9">
        <f t="shared" ca="1" si="0"/>
        <v>0.78216506373452277</v>
      </c>
      <c r="C61" s="9" t="s">
        <v>21</v>
      </c>
    </row>
    <row r="62" spans="1:3" x14ac:dyDescent="0.2">
      <c r="A62" s="9">
        <v>60</v>
      </c>
      <c r="B62" s="9">
        <f t="shared" ca="1" si="0"/>
        <v>0.84818654505749125</v>
      </c>
      <c r="C62" s="9" t="s">
        <v>22</v>
      </c>
    </row>
    <row r="63" spans="1:3" x14ac:dyDescent="0.2">
      <c r="A63" s="9">
        <v>61</v>
      </c>
      <c r="B63" s="9">
        <f t="shared" ca="1" si="0"/>
        <v>0.44415593099889628</v>
      </c>
      <c r="C63" s="9" t="s">
        <v>22</v>
      </c>
    </row>
    <row r="64" spans="1:3" x14ac:dyDescent="0.2">
      <c r="A64" s="9">
        <v>62</v>
      </c>
      <c r="B64" s="9">
        <f t="shared" ca="1" si="0"/>
        <v>0.74767588582419631</v>
      </c>
      <c r="C64" s="9" t="s">
        <v>22</v>
      </c>
    </row>
    <row r="65" spans="1:3" x14ac:dyDescent="0.2">
      <c r="A65" s="9">
        <v>63</v>
      </c>
      <c r="B65" s="9">
        <f t="shared" ca="1" si="0"/>
        <v>0.80883974393439151</v>
      </c>
      <c r="C65" s="9" t="s">
        <v>21</v>
      </c>
    </row>
    <row r="66" spans="1:3" x14ac:dyDescent="0.2">
      <c r="A66" s="9">
        <v>64</v>
      </c>
      <c r="B66" s="9">
        <f t="shared" ca="1" si="0"/>
        <v>0.8104792729908713</v>
      </c>
      <c r="C66" s="9" t="s">
        <v>21</v>
      </c>
    </row>
    <row r="67" spans="1:3" x14ac:dyDescent="0.2">
      <c r="A67" s="9">
        <v>65</v>
      </c>
      <c r="B67" s="9">
        <f t="shared" ca="1" si="0"/>
        <v>0.6929761207110573</v>
      </c>
      <c r="C67" s="9" t="s">
        <v>21</v>
      </c>
    </row>
    <row r="68" spans="1:3" x14ac:dyDescent="0.2">
      <c r="A68" s="9">
        <v>66</v>
      </c>
      <c r="B68" s="9">
        <f t="shared" ref="B68:B131" ca="1" si="1">IF(C68="Bomb",_xlfn.NORM.INV(RAND(),0.7,0.1),_xlfn.NORM.INV(RAND(),0.6,0.15))</f>
        <v>0.74025122746936789</v>
      </c>
      <c r="C68" s="9" t="s">
        <v>21</v>
      </c>
    </row>
    <row r="69" spans="1:3" x14ac:dyDescent="0.2">
      <c r="A69" s="9">
        <v>67</v>
      </c>
      <c r="B69" s="9">
        <f t="shared" ca="1" si="1"/>
        <v>0.7067035849333827</v>
      </c>
      <c r="C69" s="9" t="s">
        <v>21</v>
      </c>
    </row>
    <row r="70" spans="1:3" x14ac:dyDescent="0.2">
      <c r="A70" s="9">
        <v>68</v>
      </c>
      <c r="B70" s="9">
        <f t="shared" ca="1" si="1"/>
        <v>0.33689422130725655</v>
      </c>
      <c r="C70" s="9" t="s">
        <v>22</v>
      </c>
    </row>
    <row r="71" spans="1:3" x14ac:dyDescent="0.2">
      <c r="A71" s="9">
        <v>69</v>
      </c>
      <c r="B71" s="9">
        <f t="shared" ca="1" si="1"/>
        <v>0.47586128732540983</v>
      </c>
      <c r="C71" s="9" t="s">
        <v>22</v>
      </c>
    </row>
    <row r="72" spans="1:3" x14ac:dyDescent="0.2">
      <c r="A72" s="9">
        <v>70</v>
      </c>
      <c r="B72" s="9">
        <f t="shared" ca="1" si="1"/>
        <v>0.42336259421077549</v>
      </c>
      <c r="C72" s="9" t="s">
        <v>22</v>
      </c>
    </row>
    <row r="73" spans="1:3" x14ac:dyDescent="0.2">
      <c r="A73" s="9">
        <v>71</v>
      </c>
      <c r="B73" s="9">
        <f t="shared" ca="1" si="1"/>
        <v>0.43030555950789207</v>
      </c>
      <c r="C73" s="9" t="s">
        <v>22</v>
      </c>
    </row>
    <row r="74" spans="1:3" x14ac:dyDescent="0.2">
      <c r="A74" s="9">
        <v>72</v>
      </c>
      <c r="B74" s="9">
        <f t="shared" ca="1" si="1"/>
        <v>0.37790076375392623</v>
      </c>
      <c r="C74" s="9" t="s">
        <v>22</v>
      </c>
    </row>
    <row r="75" spans="1:3" x14ac:dyDescent="0.2">
      <c r="A75" s="9">
        <v>73</v>
      </c>
      <c r="B75" s="9">
        <f t="shared" ca="1" si="1"/>
        <v>0.77545235926958223</v>
      </c>
      <c r="C75" s="9" t="s">
        <v>21</v>
      </c>
    </row>
    <row r="76" spans="1:3" x14ac:dyDescent="0.2">
      <c r="A76" s="9">
        <v>74</v>
      </c>
      <c r="B76" s="9">
        <f t="shared" ca="1" si="1"/>
        <v>0.60740583006400883</v>
      </c>
      <c r="C76" s="9" t="s">
        <v>21</v>
      </c>
    </row>
    <row r="77" spans="1:3" x14ac:dyDescent="0.2">
      <c r="A77" s="9">
        <v>75</v>
      </c>
      <c r="B77" s="9">
        <f t="shared" ca="1" si="1"/>
        <v>0.57517942745200856</v>
      </c>
      <c r="C77" s="9" t="s">
        <v>21</v>
      </c>
    </row>
    <row r="78" spans="1:3" x14ac:dyDescent="0.2">
      <c r="A78" s="9">
        <v>76</v>
      </c>
      <c r="B78" s="9">
        <f t="shared" ca="1" si="1"/>
        <v>0.62711925310364114</v>
      </c>
      <c r="C78" s="9" t="s">
        <v>21</v>
      </c>
    </row>
    <row r="79" spans="1:3" x14ac:dyDescent="0.2">
      <c r="A79" s="9">
        <v>77</v>
      </c>
      <c r="B79" s="9">
        <f t="shared" ca="1" si="1"/>
        <v>0.63139174459982639</v>
      </c>
      <c r="C79" s="9" t="s">
        <v>22</v>
      </c>
    </row>
    <row r="80" spans="1:3" x14ac:dyDescent="0.2">
      <c r="A80" s="9">
        <v>78</v>
      </c>
      <c r="B80" s="9">
        <f t="shared" ca="1" si="1"/>
        <v>0.68164546405032</v>
      </c>
      <c r="C80" s="9" t="s">
        <v>21</v>
      </c>
    </row>
    <row r="81" spans="1:3" x14ac:dyDescent="0.2">
      <c r="A81" s="9">
        <v>79</v>
      </c>
      <c r="B81" s="9">
        <f t="shared" ca="1" si="1"/>
        <v>0.6214182215431211</v>
      </c>
      <c r="C81" s="9" t="s">
        <v>22</v>
      </c>
    </row>
    <row r="82" spans="1:3" x14ac:dyDescent="0.2">
      <c r="A82" s="9">
        <v>80</v>
      </c>
      <c r="B82" s="9">
        <f t="shared" ca="1" si="1"/>
        <v>0.73603880653496145</v>
      </c>
      <c r="C82" s="9" t="s">
        <v>21</v>
      </c>
    </row>
    <row r="83" spans="1:3" x14ac:dyDescent="0.2">
      <c r="A83" s="9">
        <v>81</v>
      </c>
      <c r="B83" s="9">
        <f t="shared" ca="1" si="1"/>
        <v>0.83128892568468715</v>
      </c>
      <c r="C83" s="9" t="s">
        <v>21</v>
      </c>
    </row>
    <row r="84" spans="1:3" x14ac:dyDescent="0.2">
      <c r="A84" s="9">
        <v>82</v>
      </c>
      <c r="B84" s="9">
        <f t="shared" ca="1" si="1"/>
        <v>0.66671025034558573</v>
      </c>
      <c r="C84" s="9" t="s">
        <v>22</v>
      </c>
    </row>
    <row r="85" spans="1:3" x14ac:dyDescent="0.2">
      <c r="A85" s="9">
        <v>83</v>
      </c>
      <c r="B85" s="9">
        <f t="shared" ca="1" si="1"/>
        <v>0.68182030430211171</v>
      </c>
      <c r="C85" s="9" t="s">
        <v>21</v>
      </c>
    </row>
    <row r="86" spans="1:3" x14ac:dyDescent="0.2">
      <c r="A86" s="9">
        <v>84</v>
      </c>
      <c r="B86" s="9">
        <f t="shared" ca="1" si="1"/>
        <v>0.68915388298923175</v>
      </c>
      <c r="C86" s="9" t="s">
        <v>21</v>
      </c>
    </row>
    <row r="87" spans="1:3" x14ac:dyDescent="0.2">
      <c r="A87" s="9">
        <v>85</v>
      </c>
      <c r="B87" s="9">
        <f t="shared" ca="1" si="1"/>
        <v>0.69462379422330289</v>
      </c>
      <c r="C87" s="9" t="s">
        <v>22</v>
      </c>
    </row>
    <row r="88" spans="1:3" x14ac:dyDescent="0.2">
      <c r="A88" s="9">
        <v>86</v>
      </c>
      <c r="B88" s="9">
        <f t="shared" ca="1" si="1"/>
        <v>0.80879332004034832</v>
      </c>
      <c r="C88" s="9" t="s">
        <v>22</v>
      </c>
    </row>
    <row r="89" spans="1:3" x14ac:dyDescent="0.2">
      <c r="A89" s="9">
        <v>87</v>
      </c>
      <c r="B89" s="9">
        <f t="shared" ca="1" si="1"/>
        <v>0.49738127179489672</v>
      </c>
      <c r="C89" s="9" t="s">
        <v>22</v>
      </c>
    </row>
    <row r="90" spans="1:3" x14ac:dyDescent="0.2">
      <c r="A90" s="9">
        <v>88</v>
      </c>
      <c r="B90" s="9">
        <f t="shared" ca="1" si="1"/>
        <v>0.68962608123642521</v>
      </c>
      <c r="C90" s="9" t="s">
        <v>22</v>
      </c>
    </row>
    <row r="91" spans="1:3" x14ac:dyDescent="0.2">
      <c r="A91" s="9">
        <v>89</v>
      </c>
      <c r="B91" s="9">
        <f t="shared" ca="1" si="1"/>
        <v>0.4650814204191035</v>
      </c>
      <c r="C91" s="9" t="s">
        <v>22</v>
      </c>
    </row>
    <row r="92" spans="1:3" x14ac:dyDescent="0.2">
      <c r="A92" s="9">
        <v>90</v>
      </c>
      <c r="B92" s="9">
        <f t="shared" ca="1" si="1"/>
        <v>0.67428111038236493</v>
      </c>
      <c r="C92" s="9" t="s">
        <v>21</v>
      </c>
    </row>
    <row r="93" spans="1:3" x14ac:dyDescent="0.2">
      <c r="A93" s="9">
        <v>91</v>
      </c>
      <c r="B93" s="9">
        <f t="shared" ca="1" si="1"/>
        <v>0.61553524735302889</v>
      </c>
      <c r="C93" s="9" t="s">
        <v>21</v>
      </c>
    </row>
    <row r="94" spans="1:3" x14ac:dyDescent="0.2">
      <c r="A94" s="9">
        <v>92</v>
      </c>
      <c r="B94" s="9">
        <f t="shared" ca="1" si="1"/>
        <v>0.57272280733516523</v>
      </c>
      <c r="C94" s="9" t="s">
        <v>22</v>
      </c>
    </row>
    <row r="95" spans="1:3" x14ac:dyDescent="0.2">
      <c r="A95" s="9">
        <v>93</v>
      </c>
      <c r="B95" s="9">
        <f t="shared" ca="1" si="1"/>
        <v>0.65485874315385939</v>
      </c>
      <c r="C95" s="9" t="s">
        <v>21</v>
      </c>
    </row>
    <row r="96" spans="1:3" x14ac:dyDescent="0.2">
      <c r="A96" s="9">
        <v>94</v>
      </c>
      <c r="B96" s="9">
        <f t="shared" ca="1" si="1"/>
        <v>0.59695695854668829</v>
      </c>
      <c r="C96" s="9" t="s">
        <v>21</v>
      </c>
    </row>
    <row r="97" spans="1:3" x14ac:dyDescent="0.2">
      <c r="A97" s="9">
        <v>95</v>
      </c>
      <c r="B97" s="9">
        <f t="shared" ca="1" si="1"/>
        <v>0.62515109245060152</v>
      </c>
      <c r="C97" s="9" t="s">
        <v>22</v>
      </c>
    </row>
    <row r="98" spans="1:3" x14ac:dyDescent="0.2">
      <c r="A98" s="9">
        <v>96</v>
      </c>
      <c r="B98" s="9">
        <f t="shared" ca="1" si="1"/>
        <v>0.7252501284476166</v>
      </c>
      <c r="C98" s="9" t="s">
        <v>22</v>
      </c>
    </row>
    <row r="99" spans="1:3" x14ac:dyDescent="0.2">
      <c r="A99" s="9">
        <v>97</v>
      </c>
      <c r="B99" s="9">
        <f t="shared" ca="1" si="1"/>
        <v>0.65926028309969109</v>
      </c>
      <c r="C99" s="9" t="s">
        <v>21</v>
      </c>
    </row>
    <row r="100" spans="1:3" x14ac:dyDescent="0.2">
      <c r="A100" s="9">
        <v>98</v>
      </c>
      <c r="B100" s="9">
        <f t="shared" ca="1" si="1"/>
        <v>0.61175903137507104</v>
      </c>
      <c r="C100" s="9" t="s">
        <v>21</v>
      </c>
    </row>
    <row r="101" spans="1:3" x14ac:dyDescent="0.2">
      <c r="A101" s="9">
        <v>99</v>
      </c>
      <c r="B101" s="9">
        <f t="shared" ca="1" si="1"/>
        <v>0.62480196774071473</v>
      </c>
      <c r="C101" s="9" t="s">
        <v>21</v>
      </c>
    </row>
    <row r="102" spans="1:3" x14ac:dyDescent="0.2">
      <c r="A102" s="9">
        <v>100</v>
      </c>
      <c r="B102" s="9">
        <f t="shared" ca="1" si="1"/>
        <v>0.56250982916001047</v>
      </c>
      <c r="C102" s="9" t="s">
        <v>22</v>
      </c>
    </row>
    <row r="103" spans="1:3" x14ac:dyDescent="0.2">
      <c r="A103" s="9">
        <v>101</v>
      </c>
      <c r="B103" s="9">
        <f t="shared" ca="1" si="1"/>
        <v>0.72642008848974304</v>
      </c>
      <c r="C103" s="9" t="s">
        <v>21</v>
      </c>
    </row>
    <row r="104" spans="1:3" x14ac:dyDescent="0.2">
      <c r="A104" s="9">
        <v>102</v>
      </c>
      <c r="B104" s="9">
        <f t="shared" ca="1" si="1"/>
        <v>0.49095685830850355</v>
      </c>
      <c r="C104" s="9" t="s">
        <v>22</v>
      </c>
    </row>
    <row r="105" spans="1:3" x14ac:dyDescent="0.2">
      <c r="A105" s="9">
        <v>103</v>
      </c>
      <c r="B105" s="9">
        <f t="shared" ca="1" si="1"/>
        <v>0.68545833387955091</v>
      </c>
      <c r="C105" s="9" t="s">
        <v>22</v>
      </c>
    </row>
    <row r="106" spans="1:3" x14ac:dyDescent="0.2">
      <c r="A106" s="9">
        <v>104</v>
      </c>
      <c r="B106" s="9">
        <f t="shared" ca="1" si="1"/>
        <v>0.76107992190504548</v>
      </c>
      <c r="C106" s="9" t="s">
        <v>22</v>
      </c>
    </row>
    <row r="107" spans="1:3" x14ac:dyDescent="0.2">
      <c r="A107" s="9">
        <v>105</v>
      </c>
      <c r="B107" s="9">
        <f t="shared" ca="1" si="1"/>
        <v>0.63160062507589798</v>
      </c>
      <c r="C107" s="9" t="s">
        <v>21</v>
      </c>
    </row>
    <row r="108" spans="1:3" x14ac:dyDescent="0.2">
      <c r="A108" s="9">
        <v>106</v>
      </c>
      <c r="B108" s="9">
        <f t="shared" ca="1" si="1"/>
        <v>0.73389521416740444</v>
      </c>
      <c r="C108" s="9" t="s">
        <v>22</v>
      </c>
    </row>
    <row r="109" spans="1:3" x14ac:dyDescent="0.2">
      <c r="A109" s="9">
        <v>107</v>
      </c>
      <c r="B109" s="9">
        <f t="shared" ca="1" si="1"/>
        <v>0.50237987888725133</v>
      </c>
      <c r="C109" s="9" t="s">
        <v>22</v>
      </c>
    </row>
    <row r="110" spans="1:3" x14ac:dyDescent="0.2">
      <c r="A110" s="9">
        <v>108</v>
      </c>
      <c r="B110" s="9">
        <f t="shared" ca="1" si="1"/>
        <v>0.60592686891032099</v>
      </c>
      <c r="C110" s="9" t="s">
        <v>22</v>
      </c>
    </row>
    <row r="111" spans="1:3" x14ac:dyDescent="0.2">
      <c r="A111" s="9">
        <v>109</v>
      </c>
      <c r="B111" s="9">
        <f t="shared" ca="1" si="1"/>
        <v>0.62246504264978642</v>
      </c>
      <c r="C111" s="9" t="s">
        <v>22</v>
      </c>
    </row>
    <row r="112" spans="1:3" x14ac:dyDescent="0.2">
      <c r="A112" s="9">
        <v>110</v>
      </c>
      <c r="B112" s="9">
        <f t="shared" ca="1" si="1"/>
        <v>0.50882267034544071</v>
      </c>
      <c r="C112" s="9" t="s">
        <v>22</v>
      </c>
    </row>
    <row r="113" spans="1:3" x14ac:dyDescent="0.2">
      <c r="A113" s="9">
        <v>111</v>
      </c>
      <c r="B113" s="9">
        <f t="shared" ca="1" si="1"/>
        <v>0.71436862789290201</v>
      </c>
      <c r="C113" s="9" t="s">
        <v>21</v>
      </c>
    </row>
    <row r="114" spans="1:3" x14ac:dyDescent="0.2">
      <c r="A114" s="9">
        <v>112</v>
      </c>
      <c r="B114" s="9">
        <f t="shared" ca="1" si="1"/>
        <v>0.52685786407795687</v>
      </c>
      <c r="C114" s="9" t="s">
        <v>22</v>
      </c>
    </row>
    <row r="115" spans="1:3" x14ac:dyDescent="0.2">
      <c r="A115" s="9">
        <v>113</v>
      </c>
      <c r="B115" s="9">
        <f t="shared" ca="1" si="1"/>
        <v>0.40005703013404276</v>
      </c>
      <c r="C115" s="9" t="s">
        <v>22</v>
      </c>
    </row>
    <row r="116" spans="1:3" x14ac:dyDescent="0.2">
      <c r="A116" s="9">
        <v>114</v>
      </c>
      <c r="B116" s="9">
        <f t="shared" ca="1" si="1"/>
        <v>0.7481108898671408</v>
      </c>
      <c r="C116" s="9" t="s">
        <v>22</v>
      </c>
    </row>
    <row r="117" spans="1:3" x14ac:dyDescent="0.2">
      <c r="A117" s="9">
        <v>115</v>
      </c>
      <c r="B117" s="9">
        <f t="shared" ca="1" si="1"/>
        <v>0.72663290917190537</v>
      </c>
      <c r="C117" s="9" t="s">
        <v>22</v>
      </c>
    </row>
    <row r="118" spans="1:3" x14ac:dyDescent="0.2">
      <c r="A118" s="9">
        <v>116</v>
      </c>
      <c r="B118" s="9">
        <f t="shared" ca="1" si="1"/>
        <v>0.47153851228479338</v>
      </c>
      <c r="C118" s="9" t="s">
        <v>22</v>
      </c>
    </row>
    <row r="119" spans="1:3" x14ac:dyDescent="0.2">
      <c r="A119" s="9">
        <v>117</v>
      </c>
      <c r="B119" s="9">
        <f t="shared" ca="1" si="1"/>
        <v>0.5057763388385903</v>
      </c>
      <c r="C119" s="9" t="s">
        <v>22</v>
      </c>
    </row>
    <row r="120" spans="1:3" x14ac:dyDescent="0.2">
      <c r="A120" s="9">
        <v>118</v>
      </c>
      <c r="B120" s="9">
        <f t="shared" ca="1" si="1"/>
        <v>0.50426553674302377</v>
      </c>
      <c r="C120" s="9" t="s">
        <v>22</v>
      </c>
    </row>
    <row r="121" spans="1:3" x14ac:dyDescent="0.2">
      <c r="A121" s="9">
        <v>119</v>
      </c>
      <c r="B121" s="9">
        <f t="shared" ca="1" si="1"/>
        <v>0.69131946874004624</v>
      </c>
      <c r="C121" s="9" t="s">
        <v>22</v>
      </c>
    </row>
    <row r="122" spans="1:3" x14ac:dyDescent="0.2">
      <c r="A122" s="9">
        <v>120</v>
      </c>
      <c r="B122" s="9">
        <f t="shared" ca="1" si="1"/>
        <v>0.78515868463174909</v>
      </c>
      <c r="C122" s="9" t="s">
        <v>21</v>
      </c>
    </row>
    <row r="123" spans="1:3" x14ac:dyDescent="0.2">
      <c r="A123" s="9">
        <v>121</v>
      </c>
      <c r="B123" s="9">
        <f t="shared" ca="1" si="1"/>
        <v>0.90274580921713465</v>
      </c>
      <c r="C123" s="9" t="s">
        <v>21</v>
      </c>
    </row>
    <row r="124" spans="1:3" x14ac:dyDescent="0.2">
      <c r="A124" s="9">
        <v>122</v>
      </c>
      <c r="B124" s="9">
        <f t="shared" ca="1" si="1"/>
        <v>0.83979696386294889</v>
      </c>
      <c r="C124" s="9" t="s">
        <v>22</v>
      </c>
    </row>
    <row r="125" spans="1:3" x14ac:dyDescent="0.2">
      <c r="A125" s="9">
        <v>123</v>
      </c>
      <c r="B125" s="9">
        <f t="shared" ca="1" si="1"/>
        <v>0.70251950053704137</v>
      </c>
      <c r="C125" s="9" t="s">
        <v>21</v>
      </c>
    </row>
    <row r="126" spans="1:3" x14ac:dyDescent="0.2">
      <c r="A126" s="9">
        <v>124</v>
      </c>
      <c r="B126" s="9">
        <f t="shared" ca="1" si="1"/>
        <v>0.57054808562401327</v>
      </c>
      <c r="C126" s="9" t="s">
        <v>21</v>
      </c>
    </row>
    <row r="127" spans="1:3" x14ac:dyDescent="0.2">
      <c r="A127" s="9">
        <v>125</v>
      </c>
      <c r="B127" s="9">
        <f t="shared" ca="1" si="1"/>
        <v>0.83968159192032654</v>
      </c>
      <c r="C127" s="9" t="s">
        <v>22</v>
      </c>
    </row>
    <row r="128" spans="1:3" x14ac:dyDescent="0.2">
      <c r="A128" s="9">
        <v>126</v>
      </c>
      <c r="B128" s="9">
        <f t="shared" ca="1" si="1"/>
        <v>0.62907043256362571</v>
      </c>
      <c r="C128" s="9" t="s">
        <v>22</v>
      </c>
    </row>
    <row r="129" spans="1:3" x14ac:dyDescent="0.2">
      <c r="A129" s="9">
        <v>127</v>
      </c>
      <c r="B129" s="9">
        <f t="shared" ca="1" si="1"/>
        <v>0.46234170842390759</v>
      </c>
      <c r="C129" s="9" t="s">
        <v>22</v>
      </c>
    </row>
    <row r="130" spans="1:3" x14ac:dyDescent="0.2">
      <c r="A130" s="9">
        <v>128</v>
      </c>
      <c r="B130" s="9">
        <f t="shared" ca="1" si="1"/>
        <v>0.43265861519678395</v>
      </c>
      <c r="C130" s="9" t="s">
        <v>22</v>
      </c>
    </row>
    <row r="131" spans="1:3" x14ac:dyDescent="0.2">
      <c r="A131" s="9">
        <v>129</v>
      </c>
      <c r="B131" s="9">
        <f t="shared" ca="1" si="1"/>
        <v>0.7782034697058261</v>
      </c>
      <c r="C131" s="9" t="s">
        <v>22</v>
      </c>
    </row>
    <row r="132" spans="1:3" x14ac:dyDescent="0.2">
      <c r="A132" s="9">
        <v>130</v>
      </c>
      <c r="B132" s="9">
        <f t="shared" ref="B132:B195" ca="1" si="2">IF(C132="Bomb",_xlfn.NORM.INV(RAND(),0.7,0.1),_xlfn.NORM.INV(RAND(),0.6,0.15))</f>
        <v>0.78690768036572745</v>
      </c>
      <c r="C132" s="9" t="s">
        <v>21</v>
      </c>
    </row>
    <row r="133" spans="1:3" x14ac:dyDescent="0.2">
      <c r="A133" s="9">
        <v>131</v>
      </c>
      <c r="B133" s="9">
        <f t="shared" ca="1" si="2"/>
        <v>0.64952999587504257</v>
      </c>
      <c r="C133" s="9" t="s">
        <v>21</v>
      </c>
    </row>
    <row r="134" spans="1:3" x14ac:dyDescent="0.2">
      <c r="A134" s="9">
        <v>132</v>
      </c>
      <c r="B134" s="9">
        <f t="shared" ca="1" si="2"/>
        <v>0.67640766129671648</v>
      </c>
      <c r="C134" s="9" t="s">
        <v>21</v>
      </c>
    </row>
    <row r="135" spans="1:3" x14ac:dyDescent="0.2">
      <c r="A135" s="9">
        <v>133</v>
      </c>
      <c r="B135" s="9">
        <f t="shared" ca="1" si="2"/>
        <v>0.72937587435942497</v>
      </c>
      <c r="C135" s="9" t="s">
        <v>21</v>
      </c>
    </row>
    <row r="136" spans="1:3" x14ac:dyDescent="0.2">
      <c r="A136" s="9">
        <v>134</v>
      </c>
      <c r="B136" s="9">
        <f t="shared" ca="1" si="2"/>
        <v>0.84512399295610674</v>
      </c>
      <c r="C136" s="9" t="s">
        <v>22</v>
      </c>
    </row>
    <row r="137" spans="1:3" x14ac:dyDescent="0.2">
      <c r="A137" s="9">
        <v>135</v>
      </c>
      <c r="B137" s="9">
        <f t="shared" ca="1" si="2"/>
        <v>0.88523223497839987</v>
      </c>
      <c r="C137" s="9" t="s">
        <v>21</v>
      </c>
    </row>
    <row r="138" spans="1:3" x14ac:dyDescent="0.2">
      <c r="A138" s="9">
        <v>136</v>
      </c>
      <c r="B138" s="9">
        <f t="shared" ca="1" si="2"/>
        <v>0.8929512618813551</v>
      </c>
      <c r="C138" s="9" t="s">
        <v>21</v>
      </c>
    </row>
    <row r="139" spans="1:3" x14ac:dyDescent="0.2">
      <c r="A139" s="9">
        <v>137</v>
      </c>
      <c r="B139" s="9">
        <f t="shared" ca="1" si="2"/>
        <v>0.65507165519719124</v>
      </c>
      <c r="C139" s="9" t="s">
        <v>22</v>
      </c>
    </row>
    <row r="140" spans="1:3" x14ac:dyDescent="0.2">
      <c r="A140" s="9">
        <v>138</v>
      </c>
      <c r="B140" s="9">
        <f t="shared" ca="1" si="2"/>
        <v>0.79537677674361351</v>
      </c>
      <c r="C140" s="9" t="s">
        <v>21</v>
      </c>
    </row>
    <row r="141" spans="1:3" x14ac:dyDescent="0.2">
      <c r="A141" s="9">
        <v>139</v>
      </c>
      <c r="B141" s="9">
        <f t="shared" ca="1" si="2"/>
        <v>0.45759614115477598</v>
      </c>
      <c r="C141" s="9" t="s">
        <v>22</v>
      </c>
    </row>
    <row r="142" spans="1:3" x14ac:dyDescent="0.2">
      <c r="A142" s="9">
        <v>140</v>
      </c>
      <c r="B142" s="9">
        <f t="shared" ca="1" si="2"/>
        <v>0.28239448836625847</v>
      </c>
      <c r="C142" s="9" t="s">
        <v>22</v>
      </c>
    </row>
    <row r="143" spans="1:3" x14ac:dyDescent="0.2">
      <c r="A143" s="9">
        <v>141</v>
      </c>
      <c r="B143" s="9">
        <f t="shared" ca="1" si="2"/>
        <v>0.53013233002700211</v>
      </c>
      <c r="C143" s="9" t="s">
        <v>22</v>
      </c>
    </row>
    <row r="144" spans="1:3" x14ac:dyDescent="0.2">
      <c r="A144" s="9">
        <v>142</v>
      </c>
      <c r="B144" s="9">
        <f t="shared" ca="1" si="2"/>
        <v>0.66162785428230864</v>
      </c>
      <c r="C144" s="9" t="s">
        <v>21</v>
      </c>
    </row>
    <row r="145" spans="1:3" x14ac:dyDescent="0.2">
      <c r="A145" s="9">
        <v>143</v>
      </c>
      <c r="B145" s="9">
        <f t="shared" ca="1" si="2"/>
        <v>0.43946552841580144</v>
      </c>
      <c r="C145" s="9" t="s">
        <v>22</v>
      </c>
    </row>
    <row r="146" spans="1:3" x14ac:dyDescent="0.2">
      <c r="A146" s="9">
        <v>144</v>
      </c>
      <c r="B146" s="9">
        <f t="shared" ca="1" si="2"/>
        <v>0.74751711040948399</v>
      </c>
      <c r="C146" s="9" t="s">
        <v>21</v>
      </c>
    </row>
    <row r="147" spans="1:3" x14ac:dyDescent="0.2">
      <c r="A147" s="9">
        <v>145</v>
      </c>
      <c r="B147" s="9">
        <f t="shared" ca="1" si="2"/>
        <v>0.56585433968403243</v>
      </c>
      <c r="C147" s="9" t="s">
        <v>22</v>
      </c>
    </row>
    <row r="148" spans="1:3" x14ac:dyDescent="0.2">
      <c r="A148" s="9">
        <v>146</v>
      </c>
      <c r="B148" s="9">
        <f t="shared" ca="1" si="2"/>
        <v>0.64934445339013647</v>
      </c>
      <c r="C148" s="9" t="s">
        <v>22</v>
      </c>
    </row>
    <row r="149" spans="1:3" x14ac:dyDescent="0.2">
      <c r="A149" s="9">
        <v>147</v>
      </c>
      <c r="B149" s="9">
        <f t="shared" ca="1" si="2"/>
        <v>0.72222799784818936</v>
      </c>
      <c r="C149" s="9" t="s">
        <v>21</v>
      </c>
    </row>
    <row r="150" spans="1:3" x14ac:dyDescent="0.2">
      <c r="A150" s="9">
        <v>148</v>
      </c>
      <c r="B150" s="9">
        <f t="shared" ca="1" si="2"/>
        <v>0.32861349358196107</v>
      </c>
      <c r="C150" s="9" t="s">
        <v>22</v>
      </c>
    </row>
    <row r="151" spans="1:3" x14ac:dyDescent="0.2">
      <c r="A151" s="9">
        <v>149</v>
      </c>
      <c r="B151" s="9">
        <f t="shared" ca="1" si="2"/>
        <v>0.53470299497628382</v>
      </c>
      <c r="C151" s="9" t="s">
        <v>22</v>
      </c>
    </row>
    <row r="152" spans="1:3" x14ac:dyDescent="0.2">
      <c r="A152" s="9">
        <v>150</v>
      </c>
      <c r="B152" s="9">
        <f t="shared" ca="1" si="2"/>
        <v>0.6811522259897812</v>
      </c>
      <c r="C152" s="9" t="s">
        <v>22</v>
      </c>
    </row>
    <row r="153" spans="1:3" x14ac:dyDescent="0.2">
      <c r="A153" s="9">
        <v>151</v>
      </c>
      <c r="B153" s="9">
        <f t="shared" ca="1" si="2"/>
        <v>0.60199482103209456</v>
      </c>
      <c r="C153" s="9" t="s">
        <v>21</v>
      </c>
    </row>
    <row r="154" spans="1:3" x14ac:dyDescent="0.2">
      <c r="A154" s="9">
        <v>152</v>
      </c>
      <c r="B154" s="9">
        <f t="shared" ca="1" si="2"/>
        <v>0.5818122297385645</v>
      </c>
      <c r="C154" s="9" t="s">
        <v>21</v>
      </c>
    </row>
    <row r="155" spans="1:3" x14ac:dyDescent="0.2">
      <c r="A155" s="9">
        <v>153</v>
      </c>
      <c r="B155" s="9">
        <f t="shared" ca="1" si="2"/>
        <v>0.64615929632760516</v>
      </c>
      <c r="C155" s="9" t="s">
        <v>21</v>
      </c>
    </row>
    <row r="156" spans="1:3" x14ac:dyDescent="0.2">
      <c r="A156" s="9">
        <v>154</v>
      </c>
      <c r="B156" s="9">
        <f t="shared" ca="1" si="2"/>
        <v>0.71580731578099321</v>
      </c>
      <c r="C156" s="9" t="s">
        <v>22</v>
      </c>
    </row>
    <row r="157" spans="1:3" x14ac:dyDescent="0.2">
      <c r="A157" s="9">
        <v>155</v>
      </c>
      <c r="B157" s="9">
        <f t="shared" ca="1" si="2"/>
        <v>0.64438921584453768</v>
      </c>
      <c r="C157" s="9" t="s">
        <v>21</v>
      </c>
    </row>
    <row r="158" spans="1:3" x14ac:dyDescent="0.2">
      <c r="A158" s="9">
        <v>156</v>
      </c>
      <c r="B158" s="9">
        <f t="shared" ca="1" si="2"/>
        <v>0.66240921516831897</v>
      </c>
      <c r="C158" s="9" t="s">
        <v>21</v>
      </c>
    </row>
    <row r="159" spans="1:3" x14ac:dyDescent="0.2">
      <c r="A159" s="9">
        <v>157</v>
      </c>
      <c r="B159" s="9">
        <f t="shared" ca="1" si="2"/>
        <v>0.57613934521138654</v>
      </c>
      <c r="C159" s="9" t="s">
        <v>22</v>
      </c>
    </row>
    <row r="160" spans="1:3" x14ac:dyDescent="0.2">
      <c r="A160" s="9">
        <v>158</v>
      </c>
      <c r="B160" s="9">
        <f t="shared" ca="1" si="2"/>
        <v>0.7416339636848458</v>
      </c>
      <c r="C160" s="9" t="s">
        <v>22</v>
      </c>
    </row>
    <row r="161" spans="1:3" x14ac:dyDescent="0.2">
      <c r="A161" s="9">
        <v>159</v>
      </c>
      <c r="B161" s="9">
        <f t="shared" ca="1" si="2"/>
        <v>0.54845268893766352</v>
      </c>
      <c r="C161" s="9" t="s">
        <v>21</v>
      </c>
    </row>
    <row r="162" spans="1:3" x14ac:dyDescent="0.2">
      <c r="A162" s="9">
        <v>160</v>
      </c>
      <c r="B162" s="9">
        <f t="shared" ca="1" si="2"/>
        <v>0.79134561173836404</v>
      </c>
      <c r="C162" s="9" t="s">
        <v>21</v>
      </c>
    </row>
    <row r="163" spans="1:3" x14ac:dyDescent="0.2">
      <c r="A163" s="9">
        <v>161</v>
      </c>
      <c r="B163" s="9">
        <f t="shared" ca="1" si="2"/>
        <v>0.6755118364523599</v>
      </c>
      <c r="C163" s="9" t="s">
        <v>21</v>
      </c>
    </row>
    <row r="164" spans="1:3" x14ac:dyDescent="0.2">
      <c r="A164" s="9">
        <v>162</v>
      </c>
      <c r="B164" s="9">
        <f t="shared" ca="1" si="2"/>
        <v>0.74915215623525877</v>
      </c>
      <c r="C164" s="9" t="s">
        <v>22</v>
      </c>
    </row>
    <row r="165" spans="1:3" x14ac:dyDescent="0.2">
      <c r="A165" s="9">
        <v>163</v>
      </c>
      <c r="B165" s="9">
        <f t="shared" ca="1" si="2"/>
        <v>0.66927064708089457</v>
      </c>
      <c r="C165" s="9" t="s">
        <v>22</v>
      </c>
    </row>
    <row r="166" spans="1:3" x14ac:dyDescent="0.2">
      <c r="A166" s="9">
        <v>164</v>
      </c>
      <c r="B166" s="9">
        <f t="shared" ca="1" si="2"/>
        <v>0.73539800280968237</v>
      </c>
      <c r="C166" s="9" t="s">
        <v>22</v>
      </c>
    </row>
    <row r="167" spans="1:3" x14ac:dyDescent="0.2">
      <c r="A167" s="9">
        <v>165</v>
      </c>
      <c r="B167" s="9">
        <f t="shared" ca="1" si="2"/>
        <v>0.70179564465408384</v>
      </c>
      <c r="C167" s="9" t="s">
        <v>22</v>
      </c>
    </row>
    <row r="168" spans="1:3" x14ac:dyDescent="0.2">
      <c r="A168" s="9">
        <v>166</v>
      </c>
      <c r="B168" s="9">
        <f t="shared" ca="1" si="2"/>
        <v>0.76717350021898623</v>
      </c>
      <c r="C168" s="9" t="s">
        <v>21</v>
      </c>
    </row>
    <row r="169" spans="1:3" x14ac:dyDescent="0.2">
      <c r="A169" s="9">
        <v>167</v>
      </c>
      <c r="B169" s="9">
        <f t="shared" ca="1" si="2"/>
        <v>0.64599428085210053</v>
      </c>
      <c r="C169" s="9" t="s">
        <v>21</v>
      </c>
    </row>
    <row r="170" spans="1:3" x14ac:dyDescent="0.2">
      <c r="A170" s="9">
        <v>168</v>
      </c>
      <c r="B170" s="9">
        <f t="shared" ca="1" si="2"/>
        <v>0.60246356880316543</v>
      </c>
      <c r="C170" s="9" t="s">
        <v>21</v>
      </c>
    </row>
    <row r="171" spans="1:3" x14ac:dyDescent="0.2">
      <c r="A171" s="9">
        <v>169</v>
      </c>
      <c r="B171" s="9">
        <f t="shared" ca="1" si="2"/>
        <v>0.89043256809755045</v>
      </c>
      <c r="C171" s="9" t="s">
        <v>22</v>
      </c>
    </row>
    <row r="172" spans="1:3" x14ac:dyDescent="0.2">
      <c r="A172" s="9">
        <v>170</v>
      </c>
      <c r="B172" s="9">
        <f t="shared" ca="1" si="2"/>
        <v>0.81688877597786302</v>
      </c>
      <c r="C172" s="9" t="s">
        <v>22</v>
      </c>
    </row>
    <row r="173" spans="1:3" x14ac:dyDescent="0.2">
      <c r="A173" s="9">
        <v>171</v>
      </c>
      <c r="B173" s="9">
        <f t="shared" ca="1" si="2"/>
        <v>0.67246982851491277</v>
      </c>
      <c r="C173" s="9" t="s">
        <v>21</v>
      </c>
    </row>
    <row r="174" spans="1:3" x14ac:dyDescent="0.2">
      <c r="A174" s="9">
        <v>172</v>
      </c>
      <c r="B174" s="9">
        <f t="shared" ca="1" si="2"/>
        <v>0.66234122316262756</v>
      </c>
      <c r="C174" s="9" t="s">
        <v>21</v>
      </c>
    </row>
    <row r="175" spans="1:3" x14ac:dyDescent="0.2">
      <c r="A175" s="9">
        <v>173</v>
      </c>
      <c r="B175" s="9">
        <f t="shared" ca="1" si="2"/>
        <v>0.74648438782618354</v>
      </c>
      <c r="C175" s="9" t="s">
        <v>21</v>
      </c>
    </row>
    <row r="176" spans="1:3" x14ac:dyDescent="0.2">
      <c r="A176" s="9">
        <v>174</v>
      </c>
      <c r="B176" s="9">
        <f t="shared" ca="1" si="2"/>
        <v>0.59658168859556782</v>
      </c>
      <c r="C176" s="9" t="s">
        <v>22</v>
      </c>
    </row>
    <row r="177" spans="1:3" x14ac:dyDescent="0.2">
      <c r="A177" s="9">
        <v>175</v>
      </c>
      <c r="B177" s="9">
        <f t="shared" ca="1" si="2"/>
        <v>0.7830140352800794</v>
      </c>
      <c r="C177" s="9" t="s">
        <v>21</v>
      </c>
    </row>
    <row r="178" spans="1:3" x14ac:dyDescent="0.2">
      <c r="A178" s="9">
        <v>176</v>
      </c>
      <c r="B178" s="9">
        <f t="shared" ca="1" si="2"/>
        <v>0.83363824376252127</v>
      </c>
      <c r="C178" s="9" t="s">
        <v>21</v>
      </c>
    </row>
    <row r="179" spans="1:3" x14ac:dyDescent="0.2">
      <c r="A179" s="9">
        <v>177</v>
      </c>
      <c r="B179" s="9">
        <f t="shared" ca="1" si="2"/>
        <v>0.51131616940837188</v>
      </c>
      <c r="C179" s="9" t="s">
        <v>22</v>
      </c>
    </row>
    <row r="180" spans="1:3" x14ac:dyDescent="0.2">
      <c r="A180" s="9">
        <v>178</v>
      </c>
      <c r="B180" s="9">
        <f t="shared" ca="1" si="2"/>
        <v>0.83885567109481074</v>
      </c>
      <c r="C180" s="9" t="s">
        <v>22</v>
      </c>
    </row>
    <row r="181" spans="1:3" x14ac:dyDescent="0.2">
      <c r="A181" s="9">
        <v>179</v>
      </c>
      <c r="B181" s="9">
        <f t="shared" ca="1" si="2"/>
        <v>0.55021762638037652</v>
      </c>
      <c r="C181" s="9" t="s">
        <v>21</v>
      </c>
    </row>
    <row r="182" spans="1:3" x14ac:dyDescent="0.2">
      <c r="A182" s="9">
        <v>180</v>
      </c>
      <c r="B182" s="9">
        <f t="shared" ca="1" si="2"/>
        <v>0.69562900637930747</v>
      </c>
      <c r="C182" s="9" t="s">
        <v>21</v>
      </c>
    </row>
    <row r="183" spans="1:3" x14ac:dyDescent="0.2">
      <c r="A183" s="9">
        <v>181</v>
      </c>
      <c r="B183" s="9">
        <f t="shared" ca="1" si="2"/>
        <v>0.71557677014698606</v>
      </c>
      <c r="C183" s="9" t="s">
        <v>21</v>
      </c>
    </row>
    <row r="184" spans="1:3" x14ac:dyDescent="0.2">
      <c r="A184" s="9">
        <v>182</v>
      </c>
      <c r="B184" s="9">
        <f t="shared" ca="1" si="2"/>
        <v>0.70996745239485981</v>
      </c>
      <c r="C184" s="9" t="s">
        <v>21</v>
      </c>
    </row>
    <row r="185" spans="1:3" x14ac:dyDescent="0.2">
      <c r="A185" s="9">
        <v>183</v>
      </c>
      <c r="B185" s="9">
        <f t="shared" ca="1" si="2"/>
        <v>0.6661595418738866</v>
      </c>
      <c r="C185" s="9" t="s">
        <v>22</v>
      </c>
    </row>
    <row r="186" spans="1:3" x14ac:dyDescent="0.2">
      <c r="A186" s="9">
        <v>184</v>
      </c>
      <c r="B186" s="9">
        <f t="shared" ca="1" si="2"/>
        <v>0.7785927056934604</v>
      </c>
      <c r="C186" s="9" t="s">
        <v>21</v>
      </c>
    </row>
    <row r="187" spans="1:3" x14ac:dyDescent="0.2">
      <c r="A187" s="9">
        <v>185</v>
      </c>
      <c r="B187" s="9">
        <f t="shared" ca="1" si="2"/>
        <v>0.3969941304261505</v>
      </c>
      <c r="C187" s="9" t="s">
        <v>22</v>
      </c>
    </row>
    <row r="188" spans="1:3" x14ac:dyDescent="0.2">
      <c r="A188" s="9">
        <v>186</v>
      </c>
      <c r="B188" s="9">
        <f t="shared" ca="1" si="2"/>
        <v>0.88021552023202987</v>
      </c>
      <c r="C188" s="9" t="s">
        <v>21</v>
      </c>
    </row>
    <row r="189" spans="1:3" x14ac:dyDescent="0.2">
      <c r="A189" s="9">
        <v>187</v>
      </c>
      <c r="B189" s="9">
        <f t="shared" ca="1" si="2"/>
        <v>0.48060072877295801</v>
      </c>
      <c r="C189" s="9" t="s">
        <v>22</v>
      </c>
    </row>
    <row r="190" spans="1:3" x14ac:dyDescent="0.2">
      <c r="A190" s="9">
        <v>188</v>
      </c>
      <c r="B190" s="9">
        <f t="shared" ca="1" si="2"/>
        <v>0.63543467264288822</v>
      </c>
      <c r="C190" s="9" t="s">
        <v>21</v>
      </c>
    </row>
    <row r="191" spans="1:3" x14ac:dyDescent="0.2">
      <c r="A191" s="9">
        <v>189</v>
      </c>
      <c r="B191" s="9">
        <f t="shared" ca="1" si="2"/>
        <v>0.79880437065498655</v>
      </c>
      <c r="C191" s="9" t="s">
        <v>21</v>
      </c>
    </row>
    <row r="192" spans="1:3" x14ac:dyDescent="0.2">
      <c r="A192" s="9">
        <v>190</v>
      </c>
      <c r="B192" s="9">
        <f t="shared" ca="1" si="2"/>
        <v>0.6225494215900983</v>
      </c>
      <c r="C192" s="9" t="s">
        <v>22</v>
      </c>
    </row>
    <row r="193" spans="1:3" x14ac:dyDescent="0.2">
      <c r="A193" s="9">
        <v>191</v>
      </c>
      <c r="B193" s="9">
        <f t="shared" ca="1" si="2"/>
        <v>0.69232955974317523</v>
      </c>
      <c r="C193" s="9" t="s">
        <v>21</v>
      </c>
    </row>
    <row r="194" spans="1:3" x14ac:dyDescent="0.2">
      <c r="A194" s="9">
        <v>192</v>
      </c>
      <c r="B194" s="9">
        <f t="shared" ca="1" si="2"/>
        <v>0.44292877587052548</v>
      </c>
      <c r="C194" s="9" t="s">
        <v>22</v>
      </c>
    </row>
    <row r="195" spans="1:3" x14ac:dyDescent="0.2">
      <c r="A195" s="9">
        <v>193</v>
      </c>
      <c r="B195" s="9">
        <f t="shared" ca="1" si="2"/>
        <v>0.62736502607619193</v>
      </c>
      <c r="C195" s="9" t="s">
        <v>21</v>
      </c>
    </row>
    <row r="196" spans="1:3" x14ac:dyDescent="0.2">
      <c r="A196" s="9">
        <v>194</v>
      </c>
      <c r="B196" s="9">
        <f t="shared" ref="B196:B259" ca="1" si="3">IF(C196="Bomb",_xlfn.NORM.INV(RAND(),0.7,0.1),_xlfn.NORM.INV(RAND(),0.6,0.15))</f>
        <v>0.74809741048907874</v>
      </c>
      <c r="C196" s="9" t="s">
        <v>22</v>
      </c>
    </row>
    <row r="197" spans="1:3" x14ac:dyDescent="0.2">
      <c r="A197" s="9">
        <v>195</v>
      </c>
      <c r="B197" s="9">
        <f t="shared" ca="1" si="3"/>
        <v>0.63756296987700389</v>
      </c>
      <c r="C197" s="9" t="s">
        <v>22</v>
      </c>
    </row>
    <row r="198" spans="1:3" x14ac:dyDescent="0.2">
      <c r="A198" s="9">
        <v>196</v>
      </c>
      <c r="B198" s="9">
        <f t="shared" ca="1" si="3"/>
        <v>0.75610836275046556</v>
      </c>
      <c r="C198" s="9" t="s">
        <v>21</v>
      </c>
    </row>
    <row r="199" spans="1:3" x14ac:dyDescent="0.2">
      <c r="A199" s="9">
        <v>197</v>
      </c>
      <c r="B199" s="9">
        <f t="shared" ca="1" si="3"/>
        <v>0.91538588003703336</v>
      </c>
      <c r="C199" s="9" t="s">
        <v>22</v>
      </c>
    </row>
    <row r="200" spans="1:3" x14ac:dyDescent="0.2">
      <c r="A200" s="9">
        <v>198</v>
      </c>
      <c r="B200" s="9">
        <f t="shared" ca="1" si="3"/>
        <v>0.5608089308971943</v>
      </c>
      <c r="C200" s="9" t="s">
        <v>21</v>
      </c>
    </row>
    <row r="201" spans="1:3" x14ac:dyDescent="0.2">
      <c r="A201" s="9">
        <v>199</v>
      </c>
      <c r="B201" s="9">
        <f t="shared" ca="1" si="3"/>
        <v>0.58250060878532628</v>
      </c>
      <c r="C201" s="9" t="s">
        <v>22</v>
      </c>
    </row>
    <row r="202" spans="1:3" x14ac:dyDescent="0.2">
      <c r="A202" s="9">
        <v>200</v>
      </c>
      <c r="B202" s="9">
        <f t="shared" ca="1" si="3"/>
        <v>0.75743900632918282</v>
      </c>
      <c r="C202" s="9" t="s">
        <v>21</v>
      </c>
    </row>
    <row r="203" spans="1:3" x14ac:dyDescent="0.2">
      <c r="A203" s="9">
        <v>201</v>
      </c>
      <c r="B203" s="9">
        <f t="shared" ca="1" si="3"/>
        <v>0.53241009424099706</v>
      </c>
      <c r="C203" s="9" t="s">
        <v>22</v>
      </c>
    </row>
    <row r="204" spans="1:3" x14ac:dyDescent="0.2">
      <c r="A204" s="9">
        <v>202</v>
      </c>
      <c r="B204" s="9">
        <f t="shared" ca="1" si="3"/>
        <v>0.89728152227160796</v>
      </c>
      <c r="C204" s="9" t="s">
        <v>21</v>
      </c>
    </row>
    <row r="205" spans="1:3" x14ac:dyDescent="0.2">
      <c r="A205" s="9">
        <v>203</v>
      </c>
      <c r="B205" s="9">
        <f t="shared" ca="1" si="3"/>
        <v>0.83166220482716313</v>
      </c>
      <c r="C205" s="9" t="s">
        <v>22</v>
      </c>
    </row>
    <row r="206" spans="1:3" x14ac:dyDescent="0.2">
      <c r="A206" s="9">
        <v>204</v>
      </c>
      <c r="B206" s="9">
        <f t="shared" ca="1" si="3"/>
        <v>0.56704839764360204</v>
      </c>
      <c r="C206" s="9" t="s">
        <v>22</v>
      </c>
    </row>
    <row r="207" spans="1:3" x14ac:dyDescent="0.2">
      <c r="A207" s="9">
        <v>205</v>
      </c>
      <c r="B207" s="9">
        <f t="shared" ca="1" si="3"/>
        <v>0.62931831887221401</v>
      </c>
      <c r="C207" s="9" t="s">
        <v>22</v>
      </c>
    </row>
    <row r="208" spans="1:3" x14ac:dyDescent="0.2">
      <c r="A208" s="9">
        <v>206</v>
      </c>
      <c r="B208" s="9">
        <f t="shared" ca="1" si="3"/>
        <v>0.73490100925560742</v>
      </c>
      <c r="C208" s="9" t="s">
        <v>21</v>
      </c>
    </row>
    <row r="209" spans="1:3" x14ac:dyDescent="0.2">
      <c r="A209" s="9">
        <v>207</v>
      </c>
      <c r="B209" s="9">
        <f t="shared" ca="1" si="3"/>
        <v>0.64182212428322249</v>
      </c>
      <c r="C209" s="9" t="s">
        <v>21</v>
      </c>
    </row>
    <row r="210" spans="1:3" x14ac:dyDescent="0.2">
      <c r="A210" s="9">
        <v>208</v>
      </c>
      <c r="B210" s="9">
        <f t="shared" ca="1" si="3"/>
        <v>0.7455473821917169</v>
      </c>
      <c r="C210" s="9" t="s">
        <v>21</v>
      </c>
    </row>
    <row r="211" spans="1:3" x14ac:dyDescent="0.2">
      <c r="A211" s="9">
        <v>209</v>
      </c>
      <c r="B211" s="9">
        <f t="shared" ca="1" si="3"/>
        <v>0.48628984577217893</v>
      </c>
      <c r="C211" s="9" t="s">
        <v>22</v>
      </c>
    </row>
    <row r="212" spans="1:3" x14ac:dyDescent="0.2">
      <c r="A212" s="9">
        <v>210</v>
      </c>
      <c r="B212" s="9">
        <f t="shared" ca="1" si="3"/>
        <v>0.64802976630048714</v>
      </c>
      <c r="C212" s="9" t="s">
        <v>22</v>
      </c>
    </row>
    <row r="213" spans="1:3" x14ac:dyDescent="0.2">
      <c r="A213" s="9">
        <v>211</v>
      </c>
      <c r="B213" s="9">
        <f t="shared" ca="1" si="3"/>
        <v>0.63262103172177642</v>
      </c>
      <c r="C213" s="9" t="s">
        <v>22</v>
      </c>
    </row>
    <row r="214" spans="1:3" x14ac:dyDescent="0.2">
      <c r="A214" s="9">
        <v>212</v>
      </c>
      <c r="B214" s="9">
        <f t="shared" ca="1" si="3"/>
        <v>0.60484136723768411</v>
      </c>
      <c r="C214" s="9" t="s">
        <v>22</v>
      </c>
    </row>
    <row r="215" spans="1:3" x14ac:dyDescent="0.2">
      <c r="A215" s="9">
        <v>213</v>
      </c>
      <c r="B215" s="9">
        <f t="shared" ca="1" si="3"/>
        <v>0.48532964417680191</v>
      </c>
      <c r="C215" s="9" t="s">
        <v>22</v>
      </c>
    </row>
    <row r="216" spans="1:3" x14ac:dyDescent="0.2">
      <c r="A216" s="9">
        <v>214</v>
      </c>
      <c r="B216" s="9">
        <f t="shared" ca="1" si="3"/>
        <v>0.5831528942887495</v>
      </c>
      <c r="C216" s="9" t="s">
        <v>22</v>
      </c>
    </row>
    <row r="217" spans="1:3" x14ac:dyDescent="0.2">
      <c r="A217" s="9">
        <v>215</v>
      </c>
      <c r="B217" s="9">
        <f t="shared" ca="1" si="3"/>
        <v>0.51200879799548193</v>
      </c>
      <c r="C217" s="9" t="s">
        <v>21</v>
      </c>
    </row>
    <row r="218" spans="1:3" x14ac:dyDescent="0.2">
      <c r="A218" s="9">
        <v>216</v>
      </c>
      <c r="B218" s="9">
        <f t="shared" ca="1" si="3"/>
        <v>0.59465935033954298</v>
      </c>
      <c r="C218" s="9" t="s">
        <v>21</v>
      </c>
    </row>
    <row r="219" spans="1:3" x14ac:dyDescent="0.2">
      <c r="A219" s="9">
        <v>217</v>
      </c>
      <c r="B219" s="9">
        <f t="shared" ca="1" si="3"/>
        <v>0.68050595130382852</v>
      </c>
      <c r="C219" s="9" t="s">
        <v>21</v>
      </c>
    </row>
    <row r="220" spans="1:3" x14ac:dyDescent="0.2">
      <c r="A220" s="9">
        <v>218</v>
      </c>
      <c r="B220" s="9">
        <f t="shared" ca="1" si="3"/>
        <v>0.65521515369745087</v>
      </c>
      <c r="C220" s="9" t="s">
        <v>22</v>
      </c>
    </row>
    <row r="221" spans="1:3" x14ac:dyDescent="0.2">
      <c r="A221" s="9">
        <v>219</v>
      </c>
      <c r="B221" s="9">
        <f t="shared" ca="1" si="3"/>
        <v>0.82608164770788939</v>
      </c>
      <c r="C221" s="9" t="s">
        <v>21</v>
      </c>
    </row>
    <row r="222" spans="1:3" x14ac:dyDescent="0.2">
      <c r="A222" s="9">
        <v>220</v>
      </c>
      <c r="B222" s="9">
        <f t="shared" ca="1" si="3"/>
        <v>0.66777046342260027</v>
      </c>
      <c r="C222" s="9" t="s">
        <v>22</v>
      </c>
    </row>
    <row r="223" spans="1:3" x14ac:dyDescent="0.2">
      <c r="A223" s="9">
        <v>221</v>
      </c>
      <c r="B223" s="9">
        <f t="shared" ca="1" si="3"/>
        <v>0.72742793594976241</v>
      </c>
      <c r="C223" s="9" t="s">
        <v>21</v>
      </c>
    </row>
    <row r="224" spans="1:3" x14ac:dyDescent="0.2">
      <c r="A224" s="9">
        <v>222</v>
      </c>
      <c r="B224" s="9">
        <f t="shared" ca="1" si="3"/>
        <v>0.52350165878406241</v>
      </c>
      <c r="C224" s="9" t="s">
        <v>21</v>
      </c>
    </row>
    <row r="225" spans="1:3" x14ac:dyDescent="0.2">
      <c r="A225" s="9">
        <v>223</v>
      </c>
      <c r="B225" s="9">
        <f t="shared" ca="1" si="3"/>
        <v>0.55597954338822853</v>
      </c>
      <c r="C225" s="9" t="s">
        <v>22</v>
      </c>
    </row>
    <row r="226" spans="1:3" x14ac:dyDescent="0.2">
      <c r="A226" s="9">
        <v>224</v>
      </c>
      <c r="B226" s="9">
        <f t="shared" ca="1" si="3"/>
        <v>0.46647650453195844</v>
      </c>
      <c r="C226" s="9" t="s">
        <v>22</v>
      </c>
    </row>
    <row r="227" spans="1:3" x14ac:dyDescent="0.2">
      <c r="A227" s="9">
        <v>225</v>
      </c>
      <c r="B227" s="9">
        <f t="shared" ca="1" si="3"/>
        <v>0.59759895048057565</v>
      </c>
      <c r="C227" s="9" t="s">
        <v>21</v>
      </c>
    </row>
    <row r="228" spans="1:3" x14ac:dyDescent="0.2">
      <c r="A228" s="9">
        <v>226</v>
      </c>
      <c r="B228" s="9">
        <f t="shared" ca="1" si="3"/>
        <v>0.70590084046250734</v>
      </c>
      <c r="C228" s="9" t="s">
        <v>22</v>
      </c>
    </row>
    <row r="229" spans="1:3" x14ac:dyDescent="0.2">
      <c r="A229" s="9">
        <v>227</v>
      </c>
      <c r="B229" s="9">
        <f t="shared" ca="1" si="3"/>
        <v>0.51218680844606723</v>
      </c>
      <c r="C229" s="9" t="s">
        <v>22</v>
      </c>
    </row>
    <row r="230" spans="1:3" x14ac:dyDescent="0.2">
      <c r="A230" s="9">
        <v>228</v>
      </c>
      <c r="B230" s="9">
        <f t="shared" ca="1" si="3"/>
        <v>0.49303134326203718</v>
      </c>
      <c r="C230" s="9" t="s">
        <v>22</v>
      </c>
    </row>
    <row r="231" spans="1:3" x14ac:dyDescent="0.2">
      <c r="A231" s="9">
        <v>229</v>
      </c>
      <c r="B231" s="9">
        <f t="shared" ca="1" si="3"/>
        <v>0.57139791226678616</v>
      </c>
      <c r="C231" s="9" t="s">
        <v>22</v>
      </c>
    </row>
    <row r="232" spans="1:3" x14ac:dyDescent="0.2">
      <c r="A232" s="9">
        <v>230</v>
      </c>
      <c r="B232" s="9">
        <f t="shared" ca="1" si="3"/>
        <v>0.88065783006456066</v>
      </c>
      <c r="C232" s="9" t="s">
        <v>21</v>
      </c>
    </row>
    <row r="233" spans="1:3" x14ac:dyDescent="0.2">
      <c r="A233" s="9">
        <v>231</v>
      </c>
      <c r="B233" s="9">
        <f t="shared" ca="1" si="3"/>
        <v>0.68990823880187579</v>
      </c>
      <c r="C233" s="9" t="s">
        <v>21</v>
      </c>
    </row>
    <row r="234" spans="1:3" x14ac:dyDescent="0.2">
      <c r="A234" s="9">
        <v>232</v>
      </c>
      <c r="B234" s="9">
        <f t="shared" ca="1" si="3"/>
        <v>0.75634991787564276</v>
      </c>
      <c r="C234" s="9" t="s">
        <v>22</v>
      </c>
    </row>
    <row r="235" spans="1:3" x14ac:dyDescent="0.2">
      <c r="A235" s="9">
        <v>233</v>
      </c>
      <c r="B235" s="9">
        <f t="shared" ca="1" si="3"/>
        <v>0.58554685358905945</v>
      </c>
      <c r="C235" s="9" t="s">
        <v>22</v>
      </c>
    </row>
    <row r="236" spans="1:3" x14ac:dyDescent="0.2">
      <c r="A236" s="9">
        <v>234</v>
      </c>
      <c r="B236" s="9">
        <f t="shared" ca="1" si="3"/>
        <v>0.72123936290230983</v>
      </c>
      <c r="C236" s="9" t="s">
        <v>21</v>
      </c>
    </row>
    <row r="237" spans="1:3" x14ac:dyDescent="0.2">
      <c r="A237" s="9">
        <v>235</v>
      </c>
      <c r="B237" s="9">
        <f t="shared" ca="1" si="3"/>
        <v>0.42250756664695466</v>
      </c>
      <c r="C237" s="9" t="s">
        <v>22</v>
      </c>
    </row>
    <row r="238" spans="1:3" x14ac:dyDescent="0.2">
      <c r="A238" s="9">
        <v>236</v>
      </c>
      <c r="B238" s="9">
        <f t="shared" ca="1" si="3"/>
        <v>0.77368508222823229</v>
      </c>
      <c r="C238" s="9" t="s">
        <v>21</v>
      </c>
    </row>
    <row r="239" spans="1:3" x14ac:dyDescent="0.2">
      <c r="A239" s="9">
        <v>237</v>
      </c>
      <c r="B239" s="9">
        <f t="shared" ca="1" si="3"/>
        <v>0.6670449824100193</v>
      </c>
      <c r="C239" s="9" t="s">
        <v>22</v>
      </c>
    </row>
    <row r="240" spans="1:3" x14ac:dyDescent="0.2">
      <c r="A240" s="9">
        <v>238</v>
      </c>
      <c r="B240" s="9">
        <f t="shared" ca="1" si="3"/>
        <v>0.6751684217735906</v>
      </c>
      <c r="C240" s="9" t="s">
        <v>21</v>
      </c>
    </row>
    <row r="241" spans="1:3" x14ac:dyDescent="0.2">
      <c r="A241" s="9">
        <v>239</v>
      </c>
      <c r="B241" s="9">
        <f t="shared" ca="1" si="3"/>
        <v>0.66793329608662433</v>
      </c>
      <c r="C241" s="9" t="s">
        <v>22</v>
      </c>
    </row>
    <row r="242" spans="1:3" x14ac:dyDescent="0.2">
      <c r="A242" s="9">
        <v>240</v>
      </c>
      <c r="B242" s="9">
        <f t="shared" ca="1" si="3"/>
        <v>0.55862422879948015</v>
      </c>
      <c r="C242" s="9" t="s">
        <v>22</v>
      </c>
    </row>
    <row r="243" spans="1:3" x14ac:dyDescent="0.2">
      <c r="A243" s="9">
        <v>241</v>
      </c>
      <c r="B243" s="9">
        <f t="shared" ca="1" si="3"/>
        <v>0.71005551723875004</v>
      </c>
      <c r="C243" s="9" t="s">
        <v>21</v>
      </c>
    </row>
    <row r="244" spans="1:3" x14ac:dyDescent="0.2">
      <c r="A244" s="9">
        <v>242</v>
      </c>
      <c r="B244" s="9">
        <f t="shared" ca="1" si="3"/>
        <v>0.81701113593899199</v>
      </c>
      <c r="C244" s="9" t="s">
        <v>21</v>
      </c>
    </row>
    <row r="245" spans="1:3" x14ac:dyDescent="0.2">
      <c r="A245" s="9">
        <v>243</v>
      </c>
      <c r="B245" s="9">
        <f t="shared" ca="1" si="3"/>
        <v>0.69888510510878832</v>
      </c>
      <c r="C245" s="9" t="s">
        <v>21</v>
      </c>
    </row>
    <row r="246" spans="1:3" x14ac:dyDescent="0.2">
      <c r="A246" s="9">
        <v>244</v>
      </c>
      <c r="B246" s="9">
        <f t="shared" ca="1" si="3"/>
        <v>0.58273147912602452</v>
      </c>
      <c r="C246" s="9" t="s">
        <v>22</v>
      </c>
    </row>
    <row r="247" spans="1:3" x14ac:dyDescent="0.2">
      <c r="A247" s="9">
        <v>245</v>
      </c>
      <c r="B247" s="9">
        <f t="shared" ca="1" si="3"/>
        <v>0.76096426715995935</v>
      </c>
      <c r="C247" s="9" t="s">
        <v>21</v>
      </c>
    </row>
    <row r="248" spans="1:3" x14ac:dyDescent="0.2">
      <c r="A248" s="9">
        <v>246</v>
      </c>
      <c r="B248" s="9">
        <f t="shared" ca="1" si="3"/>
        <v>0.44002256092197195</v>
      </c>
      <c r="C248" s="9" t="s">
        <v>21</v>
      </c>
    </row>
    <row r="249" spans="1:3" x14ac:dyDescent="0.2">
      <c r="A249" s="9">
        <v>247</v>
      </c>
      <c r="B249" s="9">
        <f t="shared" ca="1" si="3"/>
        <v>0.61422889685768656</v>
      </c>
      <c r="C249" s="9" t="s">
        <v>22</v>
      </c>
    </row>
    <row r="250" spans="1:3" x14ac:dyDescent="0.2">
      <c r="A250" s="9">
        <v>248</v>
      </c>
      <c r="B250" s="9">
        <f t="shared" ca="1" si="3"/>
        <v>0.87903659306472193</v>
      </c>
      <c r="C250" s="9" t="s">
        <v>21</v>
      </c>
    </row>
    <row r="251" spans="1:3" x14ac:dyDescent="0.2">
      <c r="A251" s="9">
        <v>249</v>
      </c>
      <c r="B251" s="9">
        <f t="shared" ca="1" si="3"/>
        <v>0.51719100897150172</v>
      </c>
      <c r="C251" s="9" t="s">
        <v>22</v>
      </c>
    </row>
    <row r="252" spans="1:3" x14ac:dyDescent="0.2">
      <c r="A252" s="9">
        <v>250</v>
      </c>
      <c r="B252" s="9">
        <f t="shared" ca="1" si="3"/>
        <v>0.80633744488192749</v>
      </c>
      <c r="C252" s="9" t="s">
        <v>21</v>
      </c>
    </row>
    <row r="253" spans="1:3" x14ac:dyDescent="0.2">
      <c r="A253" s="9">
        <v>251</v>
      </c>
      <c r="B253" s="9">
        <f t="shared" ca="1" si="3"/>
        <v>0.66497570369787695</v>
      </c>
      <c r="C253" s="9" t="s">
        <v>22</v>
      </c>
    </row>
    <row r="254" spans="1:3" x14ac:dyDescent="0.2">
      <c r="A254" s="9">
        <v>252</v>
      </c>
      <c r="B254" s="9">
        <f t="shared" ca="1" si="3"/>
        <v>0.79306797031528642</v>
      </c>
      <c r="C254" s="9" t="s">
        <v>21</v>
      </c>
    </row>
    <row r="255" spans="1:3" x14ac:dyDescent="0.2">
      <c r="A255" s="9">
        <v>253</v>
      </c>
      <c r="B255" s="9">
        <f t="shared" ca="1" si="3"/>
        <v>0.66505239539833538</v>
      </c>
      <c r="C255" s="9" t="s">
        <v>21</v>
      </c>
    </row>
    <row r="256" spans="1:3" x14ac:dyDescent="0.2">
      <c r="A256" s="9">
        <v>254</v>
      </c>
      <c r="B256" s="9">
        <f t="shared" ca="1" si="3"/>
        <v>0.72385138155371498</v>
      </c>
      <c r="C256" s="9" t="s">
        <v>21</v>
      </c>
    </row>
    <row r="257" spans="1:3" x14ac:dyDescent="0.2">
      <c r="A257" s="9">
        <v>255</v>
      </c>
      <c r="B257" s="9">
        <f t="shared" ca="1" si="3"/>
        <v>0.62655215187247237</v>
      </c>
      <c r="C257" s="9" t="s">
        <v>22</v>
      </c>
    </row>
    <row r="258" spans="1:3" x14ac:dyDescent="0.2">
      <c r="A258" s="9">
        <v>256</v>
      </c>
      <c r="B258" s="9">
        <f t="shared" ca="1" si="3"/>
        <v>0.4192635900000995</v>
      </c>
      <c r="C258" s="9" t="s">
        <v>22</v>
      </c>
    </row>
    <row r="259" spans="1:3" x14ac:dyDescent="0.2">
      <c r="A259" s="9">
        <v>257</v>
      </c>
      <c r="B259" s="9">
        <f t="shared" ca="1" si="3"/>
        <v>0.61103514562017325</v>
      </c>
      <c r="C259" s="9" t="s">
        <v>22</v>
      </c>
    </row>
    <row r="260" spans="1:3" x14ac:dyDescent="0.2">
      <c r="A260" s="9">
        <v>258</v>
      </c>
      <c r="B260" s="9">
        <f t="shared" ref="B260:B323" ca="1" si="4">IF(C260="Bomb",_xlfn.NORM.INV(RAND(),0.7,0.1),_xlfn.NORM.INV(RAND(),0.6,0.15))</f>
        <v>0.56893395080899956</v>
      </c>
      <c r="C260" s="9" t="s">
        <v>22</v>
      </c>
    </row>
    <row r="261" spans="1:3" x14ac:dyDescent="0.2">
      <c r="A261" s="9">
        <v>259</v>
      </c>
      <c r="B261" s="9">
        <f t="shared" ca="1" si="4"/>
        <v>0.5800957700704531</v>
      </c>
      <c r="C261" s="9" t="s">
        <v>22</v>
      </c>
    </row>
    <row r="262" spans="1:3" x14ac:dyDescent="0.2">
      <c r="A262" s="9">
        <v>260</v>
      </c>
      <c r="B262" s="9">
        <f t="shared" ca="1" si="4"/>
        <v>0.64196633225007194</v>
      </c>
      <c r="C262" s="9" t="s">
        <v>21</v>
      </c>
    </row>
    <row r="263" spans="1:3" x14ac:dyDescent="0.2">
      <c r="A263" s="9">
        <v>261</v>
      </c>
      <c r="B263" s="9">
        <f t="shared" ca="1" si="4"/>
        <v>0.67951058027649935</v>
      </c>
      <c r="C263" s="9" t="s">
        <v>21</v>
      </c>
    </row>
    <row r="264" spans="1:3" x14ac:dyDescent="0.2">
      <c r="A264" s="9">
        <v>262</v>
      </c>
      <c r="B264" s="9">
        <f t="shared" ca="1" si="4"/>
        <v>0.60483340362542337</v>
      </c>
      <c r="C264" s="9" t="s">
        <v>21</v>
      </c>
    </row>
    <row r="265" spans="1:3" x14ac:dyDescent="0.2">
      <c r="A265" s="9">
        <v>263</v>
      </c>
      <c r="B265" s="9">
        <f t="shared" ca="1" si="4"/>
        <v>0.87323924721504687</v>
      </c>
      <c r="C265" s="9" t="s">
        <v>21</v>
      </c>
    </row>
    <row r="266" spans="1:3" x14ac:dyDescent="0.2">
      <c r="A266" s="9">
        <v>264</v>
      </c>
      <c r="B266" s="9">
        <f t="shared" ca="1" si="4"/>
        <v>0.74310365558824798</v>
      </c>
      <c r="C266" s="9" t="s">
        <v>22</v>
      </c>
    </row>
    <row r="267" spans="1:3" x14ac:dyDescent="0.2">
      <c r="A267" s="9">
        <v>265</v>
      </c>
      <c r="B267" s="9">
        <f t="shared" ca="1" si="4"/>
        <v>0.56076522864283862</v>
      </c>
      <c r="C267" s="9" t="s">
        <v>21</v>
      </c>
    </row>
    <row r="268" spans="1:3" x14ac:dyDescent="0.2">
      <c r="A268" s="9">
        <v>266</v>
      </c>
      <c r="B268" s="9">
        <f t="shared" ca="1" si="4"/>
        <v>0.83782385001121407</v>
      </c>
      <c r="C268" s="9" t="s">
        <v>21</v>
      </c>
    </row>
    <row r="269" spans="1:3" x14ac:dyDescent="0.2">
      <c r="A269" s="9">
        <v>267</v>
      </c>
      <c r="B269" s="9">
        <f t="shared" ca="1" si="4"/>
        <v>0.56489143830540389</v>
      </c>
      <c r="C269" s="9" t="s">
        <v>22</v>
      </c>
    </row>
    <row r="270" spans="1:3" x14ac:dyDescent="0.2">
      <c r="A270" s="9">
        <v>268</v>
      </c>
      <c r="B270" s="9">
        <f t="shared" ca="1" si="4"/>
        <v>0.47455702195382998</v>
      </c>
      <c r="C270" s="9" t="s">
        <v>22</v>
      </c>
    </row>
    <row r="271" spans="1:3" x14ac:dyDescent="0.2">
      <c r="A271" s="9">
        <v>269</v>
      </c>
      <c r="B271" s="9">
        <f t="shared" ca="1" si="4"/>
        <v>0.84232086136270079</v>
      </c>
      <c r="C271" s="9" t="s">
        <v>21</v>
      </c>
    </row>
    <row r="272" spans="1:3" x14ac:dyDescent="0.2">
      <c r="A272" s="9">
        <v>270</v>
      </c>
      <c r="B272" s="9">
        <f t="shared" ca="1" si="4"/>
        <v>0.76626178918933963</v>
      </c>
      <c r="C272" s="9" t="s">
        <v>21</v>
      </c>
    </row>
    <row r="273" spans="1:3" x14ac:dyDescent="0.2">
      <c r="A273" s="9">
        <v>271</v>
      </c>
      <c r="B273" s="9">
        <f t="shared" ca="1" si="4"/>
        <v>0.58372104278839232</v>
      </c>
      <c r="C273" s="9" t="s">
        <v>22</v>
      </c>
    </row>
    <row r="274" spans="1:3" x14ac:dyDescent="0.2">
      <c r="A274" s="9">
        <v>272</v>
      </c>
      <c r="B274" s="9">
        <f t="shared" ca="1" si="4"/>
        <v>0.6801772500608334</v>
      </c>
      <c r="C274" s="9" t="s">
        <v>22</v>
      </c>
    </row>
    <row r="275" spans="1:3" x14ac:dyDescent="0.2">
      <c r="A275" s="9">
        <v>273</v>
      </c>
      <c r="B275" s="9">
        <f t="shared" ca="1" si="4"/>
        <v>0.60092280920677521</v>
      </c>
      <c r="C275" s="9" t="s">
        <v>21</v>
      </c>
    </row>
    <row r="276" spans="1:3" x14ac:dyDescent="0.2">
      <c r="A276" s="9">
        <v>274</v>
      </c>
      <c r="B276" s="9">
        <f t="shared" ca="1" si="4"/>
        <v>0.72035962264379905</v>
      </c>
      <c r="C276" s="9" t="s">
        <v>22</v>
      </c>
    </row>
    <row r="277" spans="1:3" x14ac:dyDescent="0.2">
      <c r="A277" s="9">
        <v>275</v>
      </c>
      <c r="B277" s="9">
        <f t="shared" ca="1" si="4"/>
        <v>0.66504672426769607</v>
      </c>
      <c r="C277" s="9" t="s">
        <v>22</v>
      </c>
    </row>
    <row r="278" spans="1:3" x14ac:dyDescent="0.2">
      <c r="A278" s="9">
        <v>276</v>
      </c>
      <c r="B278" s="9">
        <f t="shared" ca="1" si="4"/>
        <v>0.75935532986114151</v>
      </c>
      <c r="C278" s="9" t="s">
        <v>21</v>
      </c>
    </row>
    <row r="279" spans="1:3" x14ac:dyDescent="0.2">
      <c r="A279" s="9">
        <v>277</v>
      </c>
      <c r="B279" s="9">
        <f t="shared" ca="1" si="4"/>
        <v>0.68058586367109419</v>
      </c>
      <c r="C279" s="9" t="s">
        <v>21</v>
      </c>
    </row>
    <row r="280" spans="1:3" x14ac:dyDescent="0.2">
      <c r="A280" s="9">
        <v>278</v>
      </c>
      <c r="B280" s="9">
        <f t="shared" ca="1" si="4"/>
        <v>0.39599216012004135</v>
      </c>
      <c r="C280" s="9" t="s">
        <v>22</v>
      </c>
    </row>
    <row r="281" spans="1:3" x14ac:dyDescent="0.2">
      <c r="A281" s="9">
        <v>279</v>
      </c>
      <c r="B281" s="9">
        <f t="shared" ca="1" si="4"/>
        <v>0.59607430363173453</v>
      </c>
      <c r="C281" s="9" t="s">
        <v>22</v>
      </c>
    </row>
    <row r="282" spans="1:3" x14ac:dyDescent="0.2">
      <c r="A282" s="9">
        <v>280</v>
      </c>
      <c r="B282" s="9">
        <f t="shared" ca="1" si="4"/>
        <v>0.44448854665995219</v>
      </c>
      <c r="C282" s="9" t="s">
        <v>22</v>
      </c>
    </row>
    <row r="283" spans="1:3" x14ac:dyDescent="0.2">
      <c r="A283" s="9">
        <v>281</v>
      </c>
      <c r="B283" s="9">
        <f t="shared" ca="1" si="4"/>
        <v>0.21749751126396105</v>
      </c>
      <c r="C283" s="9" t="s">
        <v>22</v>
      </c>
    </row>
    <row r="284" spans="1:3" x14ac:dyDescent="0.2">
      <c r="A284" s="9">
        <v>282</v>
      </c>
      <c r="B284" s="9">
        <f t="shared" ca="1" si="4"/>
        <v>0.679744567519043</v>
      </c>
      <c r="C284" s="9" t="s">
        <v>21</v>
      </c>
    </row>
    <row r="285" spans="1:3" x14ac:dyDescent="0.2">
      <c r="A285" s="9">
        <v>283</v>
      </c>
      <c r="B285" s="9">
        <f t="shared" ca="1" si="4"/>
        <v>0.77035016769222742</v>
      </c>
      <c r="C285" s="9" t="s">
        <v>21</v>
      </c>
    </row>
    <row r="286" spans="1:3" x14ac:dyDescent="0.2">
      <c r="A286" s="9">
        <v>284</v>
      </c>
      <c r="B286" s="9">
        <f t="shared" ca="1" si="4"/>
        <v>0.75373627644942964</v>
      </c>
      <c r="C286" s="9" t="s">
        <v>21</v>
      </c>
    </row>
    <row r="287" spans="1:3" x14ac:dyDescent="0.2">
      <c r="A287" s="9">
        <v>285</v>
      </c>
      <c r="B287" s="9">
        <f t="shared" ca="1" si="4"/>
        <v>0.78095869254616956</v>
      </c>
      <c r="C287" s="9" t="s">
        <v>22</v>
      </c>
    </row>
    <row r="288" spans="1:3" x14ac:dyDescent="0.2">
      <c r="A288" s="9">
        <v>286</v>
      </c>
      <c r="B288" s="9">
        <f t="shared" ca="1" si="4"/>
        <v>0.75749502161978588</v>
      </c>
      <c r="C288" s="9" t="s">
        <v>21</v>
      </c>
    </row>
    <row r="289" spans="1:3" x14ac:dyDescent="0.2">
      <c r="A289" s="9">
        <v>287</v>
      </c>
      <c r="B289" s="9">
        <f t="shared" ca="1" si="4"/>
        <v>0.8721830336598565</v>
      </c>
      <c r="C289" s="9" t="s">
        <v>21</v>
      </c>
    </row>
    <row r="290" spans="1:3" x14ac:dyDescent="0.2">
      <c r="A290" s="9">
        <v>288</v>
      </c>
      <c r="B290" s="9">
        <f t="shared" ca="1" si="4"/>
        <v>0.56860081401969476</v>
      </c>
      <c r="C290" s="9" t="s">
        <v>21</v>
      </c>
    </row>
    <row r="291" spans="1:3" x14ac:dyDescent="0.2">
      <c r="A291" s="9">
        <v>289</v>
      </c>
      <c r="B291" s="9">
        <f t="shared" ca="1" si="4"/>
        <v>0.60237517306184918</v>
      </c>
      <c r="C291" s="9" t="s">
        <v>21</v>
      </c>
    </row>
    <row r="292" spans="1:3" x14ac:dyDescent="0.2">
      <c r="A292" s="9">
        <v>290</v>
      </c>
      <c r="B292" s="9">
        <f t="shared" ca="1" si="4"/>
        <v>0.45873573406225049</v>
      </c>
      <c r="C292" s="9" t="s">
        <v>22</v>
      </c>
    </row>
    <row r="293" spans="1:3" x14ac:dyDescent="0.2">
      <c r="A293" s="9">
        <v>291</v>
      </c>
      <c r="B293" s="9">
        <f t="shared" ca="1" si="4"/>
        <v>0.80468918923225652</v>
      </c>
      <c r="C293" s="9" t="s">
        <v>21</v>
      </c>
    </row>
    <row r="294" spans="1:3" x14ac:dyDescent="0.2">
      <c r="A294" s="9">
        <v>292</v>
      </c>
      <c r="B294" s="9">
        <f t="shared" ca="1" si="4"/>
        <v>0.59015485949328816</v>
      </c>
      <c r="C294" s="9" t="s">
        <v>22</v>
      </c>
    </row>
    <row r="295" spans="1:3" x14ac:dyDescent="0.2">
      <c r="A295" s="9">
        <v>293</v>
      </c>
      <c r="B295" s="9">
        <f t="shared" ca="1" si="4"/>
        <v>0.67014270031591805</v>
      </c>
      <c r="C295" s="9" t="s">
        <v>21</v>
      </c>
    </row>
    <row r="296" spans="1:3" x14ac:dyDescent="0.2">
      <c r="A296" s="9">
        <v>294</v>
      </c>
      <c r="B296" s="9">
        <f t="shared" ca="1" si="4"/>
        <v>0.60251941514106155</v>
      </c>
      <c r="C296" s="9" t="s">
        <v>22</v>
      </c>
    </row>
    <row r="297" spans="1:3" x14ac:dyDescent="0.2">
      <c r="A297" s="9">
        <v>295</v>
      </c>
      <c r="B297" s="9">
        <f t="shared" ca="1" si="4"/>
        <v>0.70906358667164404</v>
      </c>
      <c r="C297" s="9" t="s">
        <v>22</v>
      </c>
    </row>
    <row r="298" spans="1:3" x14ac:dyDescent="0.2">
      <c r="A298" s="9">
        <v>296</v>
      </c>
      <c r="B298" s="9">
        <f t="shared" ca="1" si="4"/>
        <v>0.70143303404029411</v>
      </c>
      <c r="C298" s="9" t="s">
        <v>21</v>
      </c>
    </row>
    <row r="299" spans="1:3" x14ac:dyDescent="0.2">
      <c r="A299" s="9">
        <v>297</v>
      </c>
      <c r="B299" s="9">
        <f t="shared" ca="1" si="4"/>
        <v>0.58561174611533051</v>
      </c>
      <c r="C299" s="9" t="s">
        <v>21</v>
      </c>
    </row>
    <row r="300" spans="1:3" x14ac:dyDescent="0.2">
      <c r="A300" s="9">
        <v>298</v>
      </c>
      <c r="B300" s="9">
        <f t="shared" ca="1" si="4"/>
        <v>0.74346445173461195</v>
      </c>
      <c r="C300" s="9" t="s">
        <v>22</v>
      </c>
    </row>
    <row r="301" spans="1:3" x14ac:dyDescent="0.2">
      <c r="A301" s="9">
        <v>299</v>
      </c>
      <c r="B301" s="9">
        <f t="shared" ca="1" si="4"/>
        <v>0.65705834875201363</v>
      </c>
      <c r="C301" s="9" t="s">
        <v>21</v>
      </c>
    </row>
    <row r="302" spans="1:3" x14ac:dyDescent="0.2">
      <c r="A302" s="9">
        <v>300</v>
      </c>
      <c r="B302" s="9">
        <f t="shared" ca="1" si="4"/>
        <v>0.83708525757820107</v>
      </c>
      <c r="C302" s="9" t="s">
        <v>21</v>
      </c>
    </row>
    <row r="303" spans="1:3" x14ac:dyDescent="0.2">
      <c r="A303" s="9">
        <v>301</v>
      </c>
      <c r="B303" s="9">
        <f t="shared" ca="1" si="4"/>
        <v>0.63276979378017517</v>
      </c>
      <c r="C303" s="9" t="s">
        <v>21</v>
      </c>
    </row>
    <row r="304" spans="1:3" x14ac:dyDescent="0.2">
      <c r="A304" s="9">
        <v>302</v>
      </c>
      <c r="B304" s="9">
        <f t="shared" ca="1" si="4"/>
        <v>0.63280962935587204</v>
      </c>
      <c r="C304" s="9" t="s">
        <v>21</v>
      </c>
    </row>
    <row r="305" spans="1:3" x14ac:dyDescent="0.2">
      <c r="A305" s="9">
        <v>303</v>
      </c>
      <c r="B305" s="9">
        <f t="shared" ca="1" si="4"/>
        <v>0.62996926309084955</v>
      </c>
      <c r="C305" s="9" t="s">
        <v>21</v>
      </c>
    </row>
    <row r="306" spans="1:3" x14ac:dyDescent="0.2">
      <c r="A306" s="9">
        <v>304</v>
      </c>
      <c r="B306" s="9">
        <f t="shared" ca="1" si="4"/>
        <v>0.75713766417429673</v>
      </c>
      <c r="C306" s="9" t="s">
        <v>21</v>
      </c>
    </row>
    <row r="307" spans="1:3" x14ac:dyDescent="0.2">
      <c r="A307" s="9">
        <v>305</v>
      </c>
      <c r="B307" s="9">
        <f t="shared" ca="1" si="4"/>
        <v>0.55811062876870277</v>
      </c>
      <c r="C307" s="9" t="s">
        <v>22</v>
      </c>
    </row>
    <row r="308" spans="1:3" x14ac:dyDescent="0.2">
      <c r="A308" s="9">
        <v>306</v>
      </c>
      <c r="B308" s="9">
        <f t="shared" ca="1" si="4"/>
        <v>0.71895883753458778</v>
      </c>
      <c r="C308" s="9" t="s">
        <v>21</v>
      </c>
    </row>
    <row r="309" spans="1:3" x14ac:dyDescent="0.2">
      <c r="A309" s="9">
        <v>307</v>
      </c>
      <c r="B309" s="9">
        <f t="shared" ca="1" si="4"/>
        <v>0.74827977952920766</v>
      </c>
      <c r="C309" s="9" t="s">
        <v>22</v>
      </c>
    </row>
    <row r="310" spans="1:3" x14ac:dyDescent="0.2">
      <c r="A310" s="9">
        <v>308</v>
      </c>
      <c r="B310" s="9">
        <f t="shared" ca="1" si="4"/>
        <v>0.78247292577642868</v>
      </c>
      <c r="C310" s="9" t="s">
        <v>21</v>
      </c>
    </row>
    <row r="311" spans="1:3" x14ac:dyDescent="0.2">
      <c r="A311" s="9">
        <v>309</v>
      </c>
      <c r="B311" s="9">
        <f t="shared" ca="1" si="4"/>
        <v>0.67224452260362089</v>
      </c>
      <c r="C311" s="9" t="s">
        <v>21</v>
      </c>
    </row>
    <row r="312" spans="1:3" x14ac:dyDescent="0.2">
      <c r="A312" s="9">
        <v>310</v>
      </c>
      <c r="B312" s="9">
        <f t="shared" ca="1" si="4"/>
        <v>0.39276053074774742</v>
      </c>
      <c r="C312" s="9" t="s">
        <v>22</v>
      </c>
    </row>
    <row r="313" spans="1:3" x14ac:dyDescent="0.2">
      <c r="A313" s="9">
        <v>311</v>
      </c>
      <c r="B313" s="9">
        <f t="shared" ca="1" si="4"/>
        <v>0.61722968939190315</v>
      </c>
      <c r="C313" s="9" t="s">
        <v>21</v>
      </c>
    </row>
    <row r="314" spans="1:3" x14ac:dyDescent="0.2">
      <c r="A314" s="9">
        <v>312</v>
      </c>
      <c r="B314" s="9">
        <f t="shared" ca="1" si="4"/>
        <v>0.6347486285829983</v>
      </c>
      <c r="C314" s="9" t="s">
        <v>21</v>
      </c>
    </row>
    <row r="315" spans="1:3" x14ac:dyDescent="0.2">
      <c r="A315" s="9">
        <v>313</v>
      </c>
      <c r="B315" s="9">
        <f t="shared" ca="1" si="4"/>
        <v>0.66841038716145817</v>
      </c>
      <c r="C315" s="9" t="s">
        <v>22</v>
      </c>
    </row>
    <row r="316" spans="1:3" x14ac:dyDescent="0.2">
      <c r="A316" s="9">
        <v>314</v>
      </c>
      <c r="B316" s="9">
        <f t="shared" ca="1" si="4"/>
        <v>0.73087377962131206</v>
      </c>
      <c r="C316" s="9" t="s">
        <v>22</v>
      </c>
    </row>
    <row r="317" spans="1:3" x14ac:dyDescent="0.2">
      <c r="A317" s="9">
        <v>315</v>
      </c>
      <c r="B317" s="9">
        <f t="shared" ca="1" si="4"/>
        <v>0.83325998771799725</v>
      </c>
      <c r="C317" s="9" t="s">
        <v>21</v>
      </c>
    </row>
    <row r="318" spans="1:3" x14ac:dyDescent="0.2">
      <c r="A318" s="9">
        <v>316</v>
      </c>
      <c r="B318" s="9">
        <f t="shared" ca="1" si="4"/>
        <v>0.649178232646344</v>
      </c>
      <c r="C318" s="9" t="s">
        <v>21</v>
      </c>
    </row>
    <row r="319" spans="1:3" x14ac:dyDescent="0.2">
      <c r="A319" s="9">
        <v>317</v>
      </c>
      <c r="B319" s="9">
        <f t="shared" ca="1" si="4"/>
        <v>0.43120188318690134</v>
      </c>
      <c r="C319" s="9" t="s">
        <v>22</v>
      </c>
    </row>
    <row r="320" spans="1:3" x14ac:dyDescent="0.2">
      <c r="A320" s="9">
        <v>318</v>
      </c>
      <c r="B320" s="9">
        <f t="shared" ca="1" si="4"/>
        <v>0.59029216141284313</v>
      </c>
      <c r="C320" s="9" t="s">
        <v>21</v>
      </c>
    </row>
    <row r="321" spans="1:3" x14ac:dyDescent="0.2">
      <c r="A321" s="9">
        <v>319</v>
      </c>
      <c r="B321" s="9">
        <f t="shared" ca="1" si="4"/>
        <v>0.74661735251281558</v>
      </c>
      <c r="C321" s="9" t="s">
        <v>22</v>
      </c>
    </row>
    <row r="322" spans="1:3" x14ac:dyDescent="0.2">
      <c r="A322" s="9">
        <v>320</v>
      </c>
      <c r="B322" s="9">
        <f t="shared" ca="1" si="4"/>
        <v>0.69090237678211996</v>
      </c>
      <c r="C322" s="9" t="s">
        <v>22</v>
      </c>
    </row>
    <row r="323" spans="1:3" x14ac:dyDescent="0.2">
      <c r="A323" s="9">
        <v>321</v>
      </c>
      <c r="B323" s="9">
        <f t="shared" ca="1" si="4"/>
        <v>0.75837567654963323</v>
      </c>
      <c r="C323" s="9" t="s">
        <v>21</v>
      </c>
    </row>
    <row r="324" spans="1:3" x14ac:dyDescent="0.2">
      <c r="A324" s="9">
        <v>322</v>
      </c>
      <c r="B324" s="9">
        <f t="shared" ref="B324:B387" ca="1" si="5">IF(C324="Bomb",_xlfn.NORM.INV(RAND(),0.7,0.1),_xlfn.NORM.INV(RAND(),0.6,0.15))</f>
        <v>0.803703335556614</v>
      </c>
      <c r="C324" s="9" t="s">
        <v>21</v>
      </c>
    </row>
    <row r="325" spans="1:3" x14ac:dyDescent="0.2">
      <c r="A325" s="9">
        <v>323</v>
      </c>
      <c r="B325" s="9">
        <f t="shared" ca="1" si="5"/>
        <v>0.51535898568198424</v>
      </c>
      <c r="C325" s="9" t="s">
        <v>21</v>
      </c>
    </row>
    <row r="326" spans="1:3" x14ac:dyDescent="0.2">
      <c r="A326" s="9">
        <v>324</v>
      </c>
      <c r="B326" s="9">
        <f t="shared" ca="1" si="5"/>
        <v>0.27273049846561959</v>
      </c>
      <c r="C326" s="9" t="s">
        <v>22</v>
      </c>
    </row>
    <row r="327" spans="1:3" x14ac:dyDescent="0.2">
      <c r="A327" s="9">
        <v>325</v>
      </c>
      <c r="B327" s="9">
        <f t="shared" ca="1" si="5"/>
        <v>0.39697981782033764</v>
      </c>
      <c r="C327" s="9" t="s">
        <v>22</v>
      </c>
    </row>
    <row r="328" spans="1:3" x14ac:dyDescent="0.2">
      <c r="A328" s="9">
        <v>326</v>
      </c>
      <c r="B328" s="9">
        <f t="shared" ca="1" si="5"/>
        <v>0.75616593057219916</v>
      </c>
      <c r="C328" s="9" t="s">
        <v>21</v>
      </c>
    </row>
    <row r="329" spans="1:3" x14ac:dyDescent="0.2">
      <c r="A329" s="9">
        <v>327</v>
      </c>
      <c r="B329" s="9">
        <f t="shared" ca="1" si="5"/>
        <v>0.6366772158702475</v>
      </c>
      <c r="C329" s="9" t="s">
        <v>22</v>
      </c>
    </row>
    <row r="330" spans="1:3" x14ac:dyDescent="0.2">
      <c r="A330" s="9">
        <v>328</v>
      </c>
      <c r="B330" s="9">
        <f t="shared" ca="1" si="5"/>
        <v>0.43817489072266869</v>
      </c>
      <c r="C330" s="9" t="s">
        <v>22</v>
      </c>
    </row>
    <row r="331" spans="1:3" x14ac:dyDescent="0.2">
      <c r="A331" s="9">
        <v>329</v>
      </c>
      <c r="B331" s="9">
        <f t="shared" ca="1" si="5"/>
        <v>0.73195449762033249</v>
      </c>
      <c r="C331" s="9" t="s">
        <v>21</v>
      </c>
    </row>
    <row r="332" spans="1:3" x14ac:dyDescent="0.2">
      <c r="A332" s="9">
        <v>330</v>
      </c>
      <c r="B332" s="9">
        <f t="shared" ca="1" si="5"/>
        <v>0.45410063880082829</v>
      </c>
      <c r="C332" s="9" t="s">
        <v>22</v>
      </c>
    </row>
    <row r="333" spans="1:3" x14ac:dyDescent="0.2">
      <c r="A333" s="9">
        <v>331</v>
      </c>
      <c r="B333" s="9">
        <f t="shared" ca="1" si="5"/>
        <v>0.82201004820421897</v>
      </c>
      <c r="C333" s="9" t="s">
        <v>22</v>
      </c>
    </row>
    <row r="334" spans="1:3" x14ac:dyDescent="0.2">
      <c r="A334" s="9">
        <v>332</v>
      </c>
      <c r="B334" s="9">
        <f t="shared" ca="1" si="5"/>
        <v>0.74049656286426968</v>
      </c>
      <c r="C334" s="9" t="s">
        <v>21</v>
      </c>
    </row>
    <row r="335" spans="1:3" x14ac:dyDescent="0.2">
      <c r="A335" s="9">
        <v>333</v>
      </c>
      <c r="B335" s="9">
        <f t="shared" ca="1" si="5"/>
        <v>0.68801083519730299</v>
      </c>
      <c r="C335" s="9" t="s">
        <v>22</v>
      </c>
    </row>
    <row r="336" spans="1:3" x14ac:dyDescent="0.2">
      <c r="A336" s="9">
        <v>334</v>
      </c>
      <c r="B336" s="9">
        <f t="shared" ca="1" si="5"/>
        <v>0.62930583760775705</v>
      </c>
      <c r="C336" s="9" t="s">
        <v>22</v>
      </c>
    </row>
    <row r="337" spans="1:3" x14ac:dyDescent="0.2">
      <c r="A337" s="9">
        <v>335</v>
      </c>
      <c r="B337" s="9">
        <f t="shared" ca="1" si="5"/>
        <v>0.58235124286112572</v>
      </c>
      <c r="C337" s="9" t="s">
        <v>22</v>
      </c>
    </row>
    <row r="338" spans="1:3" x14ac:dyDescent="0.2">
      <c r="A338" s="9">
        <v>336</v>
      </c>
      <c r="B338" s="9">
        <f t="shared" ca="1" si="5"/>
        <v>0.60272448206416929</v>
      </c>
      <c r="C338" s="9" t="s">
        <v>21</v>
      </c>
    </row>
    <row r="339" spans="1:3" x14ac:dyDescent="0.2">
      <c r="A339" s="9">
        <v>337</v>
      </c>
      <c r="B339" s="9">
        <f t="shared" ca="1" si="5"/>
        <v>0.73054835918824201</v>
      </c>
      <c r="C339" s="9" t="s">
        <v>21</v>
      </c>
    </row>
    <row r="340" spans="1:3" x14ac:dyDescent="0.2">
      <c r="A340" s="9">
        <v>338</v>
      </c>
      <c r="B340" s="9">
        <f t="shared" ca="1" si="5"/>
        <v>0.65688557344147425</v>
      </c>
      <c r="C340" s="9" t="s">
        <v>21</v>
      </c>
    </row>
    <row r="341" spans="1:3" x14ac:dyDescent="0.2">
      <c r="A341" s="9">
        <v>339</v>
      </c>
      <c r="B341" s="9">
        <f t="shared" ca="1" si="5"/>
        <v>0.53282442619470882</v>
      </c>
      <c r="C341" s="9" t="s">
        <v>22</v>
      </c>
    </row>
    <row r="342" spans="1:3" x14ac:dyDescent="0.2">
      <c r="A342" s="9">
        <v>340</v>
      </c>
      <c r="B342" s="9">
        <f t="shared" ca="1" si="5"/>
        <v>0.42813589315554729</v>
      </c>
      <c r="C342" s="9" t="s">
        <v>22</v>
      </c>
    </row>
    <row r="343" spans="1:3" x14ac:dyDescent="0.2">
      <c r="A343" s="9">
        <v>341</v>
      </c>
      <c r="B343" s="9">
        <f t="shared" ca="1" si="5"/>
        <v>0.82681364399569923</v>
      </c>
      <c r="C343" s="9" t="s">
        <v>22</v>
      </c>
    </row>
    <row r="344" spans="1:3" x14ac:dyDescent="0.2">
      <c r="A344" s="9">
        <v>342</v>
      </c>
      <c r="B344" s="9">
        <f t="shared" ca="1" si="5"/>
        <v>0.74208851285441868</v>
      </c>
      <c r="C344" s="9" t="s">
        <v>22</v>
      </c>
    </row>
    <row r="345" spans="1:3" x14ac:dyDescent="0.2">
      <c r="A345" s="9">
        <v>343</v>
      </c>
      <c r="B345" s="9">
        <f t="shared" ca="1" si="5"/>
        <v>0.76750405311195946</v>
      </c>
      <c r="C345" s="9" t="s">
        <v>21</v>
      </c>
    </row>
    <row r="346" spans="1:3" x14ac:dyDescent="0.2">
      <c r="A346" s="9">
        <v>344</v>
      </c>
      <c r="B346" s="9">
        <f t="shared" ca="1" si="5"/>
        <v>0.55256463616445017</v>
      </c>
      <c r="C346" s="9" t="s">
        <v>21</v>
      </c>
    </row>
    <row r="347" spans="1:3" x14ac:dyDescent="0.2">
      <c r="A347" s="9">
        <v>345</v>
      </c>
      <c r="B347" s="9">
        <f t="shared" ca="1" si="5"/>
        <v>0.69095409130048602</v>
      </c>
      <c r="C347" s="9" t="s">
        <v>22</v>
      </c>
    </row>
    <row r="348" spans="1:3" x14ac:dyDescent="0.2">
      <c r="A348" s="9">
        <v>346</v>
      </c>
      <c r="B348" s="9">
        <f t="shared" ca="1" si="5"/>
        <v>0.60391985333164988</v>
      </c>
      <c r="C348" s="9" t="s">
        <v>21</v>
      </c>
    </row>
    <row r="349" spans="1:3" x14ac:dyDescent="0.2">
      <c r="A349" s="9">
        <v>347</v>
      </c>
      <c r="B349" s="9">
        <f t="shared" ca="1" si="5"/>
        <v>0.60968368553349317</v>
      </c>
      <c r="C349" s="9" t="s">
        <v>22</v>
      </c>
    </row>
    <row r="350" spans="1:3" x14ac:dyDescent="0.2">
      <c r="A350" s="9">
        <v>348</v>
      </c>
      <c r="B350" s="9">
        <f t="shared" ca="1" si="5"/>
        <v>0.62337939985032764</v>
      </c>
      <c r="C350" s="9" t="s">
        <v>21</v>
      </c>
    </row>
    <row r="351" spans="1:3" x14ac:dyDescent="0.2">
      <c r="A351" s="9">
        <v>349</v>
      </c>
      <c r="B351" s="9">
        <f t="shared" ca="1" si="5"/>
        <v>0.56685087145159763</v>
      </c>
      <c r="C351" s="9" t="s">
        <v>21</v>
      </c>
    </row>
    <row r="352" spans="1:3" x14ac:dyDescent="0.2">
      <c r="A352" s="9">
        <v>350</v>
      </c>
      <c r="B352" s="9">
        <f t="shared" ca="1" si="5"/>
        <v>0.62973026026822354</v>
      </c>
      <c r="C352" s="9" t="s">
        <v>22</v>
      </c>
    </row>
    <row r="353" spans="1:3" x14ac:dyDescent="0.2">
      <c r="A353" s="9">
        <v>351</v>
      </c>
      <c r="B353" s="9">
        <f t="shared" ca="1" si="5"/>
        <v>0.87049550288091226</v>
      </c>
      <c r="C353" s="9" t="s">
        <v>22</v>
      </c>
    </row>
    <row r="354" spans="1:3" x14ac:dyDescent="0.2">
      <c r="A354" s="9">
        <v>352</v>
      </c>
      <c r="B354" s="9">
        <f t="shared" ca="1" si="5"/>
        <v>0.66358246477305449</v>
      </c>
      <c r="C354" s="9" t="s">
        <v>22</v>
      </c>
    </row>
    <row r="355" spans="1:3" x14ac:dyDescent="0.2">
      <c r="A355" s="9">
        <v>353</v>
      </c>
      <c r="B355" s="9">
        <f t="shared" ca="1" si="5"/>
        <v>0.80966969724481685</v>
      </c>
      <c r="C355" s="9" t="s">
        <v>21</v>
      </c>
    </row>
    <row r="356" spans="1:3" x14ac:dyDescent="0.2">
      <c r="A356" s="9">
        <v>354</v>
      </c>
      <c r="B356" s="9">
        <f t="shared" ca="1" si="5"/>
        <v>0.58337698951336181</v>
      </c>
      <c r="C356" s="9" t="s">
        <v>21</v>
      </c>
    </row>
    <row r="357" spans="1:3" x14ac:dyDescent="0.2">
      <c r="A357" s="9">
        <v>355</v>
      </c>
      <c r="B357" s="9">
        <f t="shared" ca="1" si="5"/>
        <v>0.68625013904578125</v>
      </c>
      <c r="C357" s="9" t="s">
        <v>21</v>
      </c>
    </row>
    <row r="358" spans="1:3" x14ac:dyDescent="0.2">
      <c r="A358" s="9">
        <v>356</v>
      </c>
      <c r="B358" s="9">
        <f t="shared" ca="1" si="5"/>
        <v>0.7735200132796487</v>
      </c>
      <c r="C358" s="9" t="s">
        <v>21</v>
      </c>
    </row>
    <row r="359" spans="1:3" x14ac:dyDescent="0.2">
      <c r="A359" s="9">
        <v>357</v>
      </c>
      <c r="B359" s="9">
        <f t="shared" ca="1" si="5"/>
        <v>0.58825551466008486</v>
      </c>
      <c r="C359" s="9" t="s">
        <v>22</v>
      </c>
    </row>
    <row r="360" spans="1:3" x14ac:dyDescent="0.2">
      <c r="A360" s="9">
        <v>358</v>
      </c>
      <c r="B360" s="9">
        <f t="shared" ca="1" si="5"/>
        <v>0.71155878732350963</v>
      </c>
      <c r="C360" s="9" t="s">
        <v>21</v>
      </c>
    </row>
    <row r="361" spans="1:3" x14ac:dyDescent="0.2">
      <c r="A361" s="9">
        <v>359</v>
      </c>
      <c r="B361" s="9">
        <f t="shared" ca="1" si="5"/>
        <v>0.96478220966327277</v>
      </c>
      <c r="C361" s="9" t="s">
        <v>22</v>
      </c>
    </row>
    <row r="362" spans="1:3" x14ac:dyDescent="0.2">
      <c r="A362" s="9">
        <v>360</v>
      </c>
      <c r="B362" s="9">
        <f t="shared" ca="1" si="5"/>
        <v>0.76332849979663009</v>
      </c>
      <c r="C362" s="9" t="s">
        <v>22</v>
      </c>
    </row>
    <row r="363" spans="1:3" x14ac:dyDescent="0.2">
      <c r="A363" s="9">
        <v>361</v>
      </c>
      <c r="B363" s="9">
        <f t="shared" ca="1" si="5"/>
        <v>0.80395328784352371</v>
      </c>
      <c r="C363" s="9" t="s">
        <v>21</v>
      </c>
    </row>
    <row r="364" spans="1:3" x14ac:dyDescent="0.2">
      <c r="A364" s="9">
        <v>362</v>
      </c>
      <c r="B364" s="9">
        <f t="shared" ca="1" si="5"/>
        <v>0.78418582719647367</v>
      </c>
      <c r="C364" s="9" t="s">
        <v>21</v>
      </c>
    </row>
    <row r="365" spans="1:3" x14ac:dyDescent="0.2">
      <c r="A365" s="9">
        <v>363</v>
      </c>
      <c r="B365" s="9">
        <f t="shared" ca="1" si="5"/>
        <v>0.40684741126207191</v>
      </c>
      <c r="C365" s="9" t="s">
        <v>22</v>
      </c>
    </row>
    <row r="366" spans="1:3" x14ac:dyDescent="0.2">
      <c r="A366" s="9">
        <v>364</v>
      </c>
      <c r="B366" s="9">
        <f t="shared" ca="1" si="5"/>
        <v>0.79378803604860459</v>
      </c>
      <c r="C366" s="9" t="s">
        <v>21</v>
      </c>
    </row>
    <row r="367" spans="1:3" x14ac:dyDescent="0.2">
      <c r="A367" s="9">
        <v>365</v>
      </c>
      <c r="B367" s="9">
        <f t="shared" ca="1" si="5"/>
        <v>0.61446103874503633</v>
      </c>
      <c r="C367" s="9" t="s">
        <v>22</v>
      </c>
    </row>
    <row r="368" spans="1:3" x14ac:dyDescent="0.2">
      <c r="A368" s="9">
        <v>366</v>
      </c>
      <c r="B368" s="9">
        <f t="shared" ca="1" si="5"/>
        <v>0.27050443785941586</v>
      </c>
      <c r="C368" s="9" t="s">
        <v>22</v>
      </c>
    </row>
    <row r="369" spans="1:3" x14ac:dyDescent="0.2">
      <c r="A369" s="9">
        <v>367</v>
      </c>
      <c r="B369" s="9">
        <f t="shared" ca="1" si="5"/>
        <v>0.78072831451723346</v>
      </c>
      <c r="C369" s="9" t="s">
        <v>21</v>
      </c>
    </row>
    <row r="370" spans="1:3" x14ac:dyDescent="0.2">
      <c r="A370" s="9">
        <v>368</v>
      </c>
      <c r="B370" s="9">
        <f t="shared" ca="1" si="5"/>
        <v>0.56517289401388759</v>
      </c>
      <c r="C370" s="9" t="s">
        <v>21</v>
      </c>
    </row>
    <row r="371" spans="1:3" x14ac:dyDescent="0.2">
      <c r="A371" s="9">
        <v>369</v>
      </c>
      <c r="B371" s="9">
        <f t="shared" ca="1" si="5"/>
        <v>0.41335086223412859</v>
      </c>
      <c r="C371" s="9" t="s">
        <v>22</v>
      </c>
    </row>
    <row r="372" spans="1:3" x14ac:dyDescent="0.2">
      <c r="A372" s="9">
        <v>370</v>
      </c>
      <c r="B372" s="9">
        <f t="shared" ca="1" si="5"/>
        <v>0.73035479051360142</v>
      </c>
      <c r="C372" s="9" t="s">
        <v>21</v>
      </c>
    </row>
    <row r="373" spans="1:3" x14ac:dyDescent="0.2">
      <c r="A373" s="9">
        <v>371</v>
      </c>
      <c r="B373" s="9">
        <f t="shared" ca="1" si="5"/>
        <v>0.67165451504365736</v>
      </c>
      <c r="C373" s="9" t="s">
        <v>21</v>
      </c>
    </row>
    <row r="374" spans="1:3" x14ac:dyDescent="0.2">
      <c r="A374" s="9">
        <v>372</v>
      </c>
      <c r="B374" s="9">
        <f t="shared" ca="1" si="5"/>
        <v>0.55457047242679969</v>
      </c>
      <c r="C374" s="9" t="s">
        <v>22</v>
      </c>
    </row>
    <row r="375" spans="1:3" x14ac:dyDescent="0.2">
      <c r="A375" s="9">
        <v>373</v>
      </c>
      <c r="B375" s="9">
        <f t="shared" ca="1" si="5"/>
        <v>0.66922543902448339</v>
      </c>
      <c r="C375" s="9" t="s">
        <v>21</v>
      </c>
    </row>
    <row r="376" spans="1:3" x14ac:dyDescent="0.2">
      <c r="A376" s="9">
        <v>374</v>
      </c>
      <c r="B376" s="9">
        <f t="shared" ca="1" si="5"/>
        <v>0.61151945885074832</v>
      </c>
      <c r="C376" s="9" t="s">
        <v>21</v>
      </c>
    </row>
    <row r="377" spans="1:3" x14ac:dyDescent="0.2">
      <c r="A377" s="9">
        <v>375</v>
      </c>
      <c r="B377" s="9">
        <f t="shared" ca="1" si="5"/>
        <v>0.64848764999233766</v>
      </c>
      <c r="C377" s="9" t="s">
        <v>22</v>
      </c>
    </row>
    <row r="378" spans="1:3" x14ac:dyDescent="0.2">
      <c r="A378" s="9">
        <v>376</v>
      </c>
      <c r="B378" s="9">
        <f t="shared" ca="1" si="5"/>
        <v>0.7114150167795521</v>
      </c>
      <c r="C378" s="9" t="s">
        <v>21</v>
      </c>
    </row>
    <row r="379" spans="1:3" x14ac:dyDescent="0.2">
      <c r="A379" s="9">
        <v>377</v>
      </c>
      <c r="B379" s="9">
        <f t="shared" ca="1" si="5"/>
        <v>0.67855551397118696</v>
      </c>
      <c r="C379" s="9" t="s">
        <v>21</v>
      </c>
    </row>
    <row r="380" spans="1:3" x14ac:dyDescent="0.2">
      <c r="A380" s="9">
        <v>378</v>
      </c>
      <c r="B380" s="9">
        <f t="shared" ca="1" si="5"/>
        <v>0.83566419150986015</v>
      </c>
      <c r="C380" s="9" t="s">
        <v>21</v>
      </c>
    </row>
    <row r="381" spans="1:3" x14ac:dyDescent="0.2">
      <c r="A381" s="9">
        <v>379</v>
      </c>
      <c r="B381" s="9">
        <f t="shared" ca="1" si="5"/>
        <v>0.60938032128068587</v>
      </c>
      <c r="C381" s="9" t="s">
        <v>21</v>
      </c>
    </row>
    <row r="382" spans="1:3" x14ac:dyDescent="0.2">
      <c r="A382" s="9">
        <v>380</v>
      </c>
      <c r="B382" s="9">
        <f t="shared" ca="1" si="5"/>
        <v>0.7656539856875102</v>
      </c>
      <c r="C382" s="9" t="s">
        <v>21</v>
      </c>
    </row>
    <row r="383" spans="1:3" x14ac:dyDescent="0.2">
      <c r="A383" s="9">
        <v>381</v>
      </c>
      <c r="B383" s="9">
        <f t="shared" ca="1" si="5"/>
        <v>0.64511793382123039</v>
      </c>
      <c r="C383" s="9" t="s">
        <v>21</v>
      </c>
    </row>
    <row r="384" spans="1:3" x14ac:dyDescent="0.2">
      <c r="A384" s="9">
        <v>382</v>
      </c>
      <c r="B384" s="9">
        <f t="shared" ca="1" si="5"/>
        <v>0.59427499748901746</v>
      </c>
      <c r="C384" s="9" t="s">
        <v>21</v>
      </c>
    </row>
    <row r="385" spans="1:3" x14ac:dyDescent="0.2">
      <c r="A385" s="9">
        <v>383</v>
      </c>
      <c r="B385" s="9">
        <f t="shared" ca="1" si="5"/>
        <v>0.67624714797986329</v>
      </c>
      <c r="C385" s="9" t="s">
        <v>22</v>
      </c>
    </row>
    <row r="386" spans="1:3" x14ac:dyDescent="0.2">
      <c r="A386" s="9">
        <v>384</v>
      </c>
      <c r="B386" s="9">
        <f t="shared" ca="1" si="5"/>
        <v>0.57961459958227046</v>
      </c>
      <c r="C386" s="9" t="s">
        <v>21</v>
      </c>
    </row>
    <row r="387" spans="1:3" x14ac:dyDescent="0.2">
      <c r="A387" s="9">
        <v>385</v>
      </c>
      <c r="B387" s="9">
        <f t="shared" ca="1" si="5"/>
        <v>0.45174333999044192</v>
      </c>
      <c r="C387" s="9" t="s">
        <v>22</v>
      </c>
    </row>
    <row r="388" spans="1:3" x14ac:dyDescent="0.2">
      <c r="A388" s="9">
        <v>386</v>
      </c>
      <c r="B388" s="9">
        <f t="shared" ref="B388:B451" ca="1" si="6">IF(C388="Bomb",_xlfn.NORM.INV(RAND(),0.7,0.1),_xlfn.NORM.INV(RAND(),0.6,0.15))</f>
        <v>0.44072852162522069</v>
      </c>
      <c r="C388" s="9" t="s">
        <v>22</v>
      </c>
    </row>
    <row r="389" spans="1:3" x14ac:dyDescent="0.2">
      <c r="A389" s="9">
        <v>387</v>
      </c>
      <c r="B389" s="9">
        <f t="shared" ca="1" si="6"/>
        <v>0.50724653120953422</v>
      </c>
      <c r="C389" s="9" t="s">
        <v>22</v>
      </c>
    </row>
    <row r="390" spans="1:3" x14ac:dyDescent="0.2">
      <c r="A390" s="9">
        <v>388</v>
      </c>
      <c r="B390" s="9">
        <f t="shared" ca="1" si="6"/>
        <v>0.79808791511076738</v>
      </c>
      <c r="C390" s="9" t="s">
        <v>22</v>
      </c>
    </row>
    <row r="391" spans="1:3" x14ac:dyDescent="0.2">
      <c r="A391" s="9">
        <v>389</v>
      </c>
      <c r="B391" s="9">
        <f t="shared" ca="1" si="6"/>
        <v>0.54737502349618983</v>
      </c>
      <c r="C391" s="9" t="s">
        <v>22</v>
      </c>
    </row>
    <row r="392" spans="1:3" x14ac:dyDescent="0.2">
      <c r="A392" s="9">
        <v>390</v>
      </c>
      <c r="B392" s="9">
        <f t="shared" ca="1" si="6"/>
        <v>0.70591374369335802</v>
      </c>
      <c r="C392" s="9" t="s">
        <v>21</v>
      </c>
    </row>
    <row r="393" spans="1:3" x14ac:dyDescent="0.2">
      <c r="A393" s="9">
        <v>391</v>
      </c>
      <c r="B393" s="9">
        <f t="shared" ca="1" si="6"/>
        <v>0.69203759830615508</v>
      </c>
      <c r="C393" s="9" t="s">
        <v>21</v>
      </c>
    </row>
    <row r="394" spans="1:3" x14ac:dyDescent="0.2">
      <c r="A394" s="9">
        <v>392</v>
      </c>
      <c r="B394" s="9">
        <f t="shared" ca="1" si="6"/>
        <v>0.66389746282911988</v>
      </c>
      <c r="C394" s="9" t="s">
        <v>22</v>
      </c>
    </row>
    <row r="395" spans="1:3" x14ac:dyDescent="0.2">
      <c r="A395" s="9">
        <v>393</v>
      </c>
      <c r="B395" s="9">
        <f t="shared" ca="1" si="6"/>
        <v>0.68085475036842014</v>
      </c>
      <c r="C395" s="9" t="s">
        <v>22</v>
      </c>
    </row>
    <row r="396" spans="1:3" x14ac:dyDescent="0.2">
      <c r="A396" s="9">
        <v>394</v>
      </c>
      <c r="B396" s="9">
        <f t="shared" ca="1" si="6"/>
        <v>0.51795022060875195</v>
      </c>
      <c r="C396" s="9" t="s">
        <v>22</v>
      </c>
    </row>
    <row r="397" spans="1:3" x14ac:dyDescent="0.2">
      <c r="A397" s="9">
        <v>395</v>
      </c>
      <c r="B397" s="9">
        <f t="shared" ca="1" si="6"/>
        <v>0.88446896154600307</v>
      </c>
      <c r="C397" s="9" t="s">
        <v>21</v>
      </c>
    </row>
    <row r="398" spans="1:3" x14ac:dyDescent="0.2">
      <c r="A398" s="9">
        <v>396</v>
      </c>
      <c r="B398" s="9">
        <f t="shared" ca="1" si="6"/>
        <v>0.71999367126567193</v>
      </c>
      <c r="C398" s="9" t="s">
        <v>21</v>
      </c>
    </row>
    <row r="399" spans="1:3" x14ac:dyDescent="0.2">
      <c r="A399" s="9">
        <v>397</v>
      </c>
      <c r="B399" s="9">
        <f t="shared" ca="1" si="6"/>
        <v>0.75264836849399985</v>
      </c>
      <c r="C399" s="9" t="s">
        <v>22</v>
      </c>
    </row>
    <row r="400" spans="1:3" x14ac:dyDescent="0.2">
      <c r="A400" s="9">
        <v>398</v>
      </c>
      <c r="B400" s="9">
        <f t="shared" ca="1" si="6"/>
        <v>0.51712644569697896</v>
      </c>
      <c r="C400" s="9" t="s">
        <v>21</v>
      </c>
    </row>
    <row r="401" spans="1:3" x14ac:dyDescent="0.2">
      <c r="A401" s="9">
        <v>399</v>
      </c>
      <c r="B401" s="9">
        <f t="shared" ca="1" si="6"/>
        <v>0.68629097423600716</v>
      </c>
      <c r="C401" s="9" t="s">
        <v>22</v>
      </c>
    </row>
    <row r="402" spans="1:3" x14ac:dyDescent="0.2">
      <c r="A402" s="9">
        <v>400</v>
      </c>
      <c r="B402" s="9">
        <f t="shared" ca="1" si="6"/>
        <v>0.64883008953236143</v>
      </c>
      <c r="C402" s="9" t="s">
        <v>21</v>
      </c>
    </row>
    <row r="403" spans="1:3" x14ac:dyDescent="0.2">
      <c r="A403" s="9">
        <v>401</v>
      </c>
      <c r="B403" s="9">
        <f t="shared" ca="1" si="6"/>
        <v>0.6384892340324031</v>
      </c>
      <c r="C403" s="9" t="s">
        <v>22</v>
      </c>
    </row>
    <row r="404" spans="1:3" x14ac:dyDescent="0.2">
      <c r="A404" s="9">
        <v>402</v>
      </c>
      <c r="B404" s="9">
        <f t="shared" ca="1" si="6"/>
        <v>0.61489335966226111</v>
      </c>
      <c r="C404" s="9" t="s">
        <v>22</v>
      </c>
    </row>
    <row r="405" spans="1:3" x14ac:dyDescent="0.2">
      <c r="A405" s="9">
        <v>403</v>
      </c>
      <c r="B405" s="9">
        <f t="shared" ca="1" si="6"/>
        <v>0.70219509256252932</v>
      </c>
      <c r="C405" s="9" t="s">
        <v>22</v>
      </c>
    </row>
    <row r="406" spans="1:3" x14ac:dyDescent="0.2">
      <c r="A406" s="9">
        <v>404</v>
      </c>
      <c r="B406" s="9">
        <f t="shared" ca="1" si="6"/>
        <v>0.57171088540243953</v>
      </c>
      <c r="C406" s="9" t="s">
        <v>21</v>
      </c>
    </row>
    <row r="407" spans="1:3" x14ac:dyDescent="0.2">
      <c r="A407" s="9">
        <v>405</v>
      </c>
      <c r="B407" s="9">
        <f t="shared" ca="1" si="6"/>
        <v>0.74134083558858299</v>
      </c>
      <c r="C407" s="9" t="s">
        <v>21</v>
      </c>
    </row>
    <row r="408" spans="1:3" x14ac:dyDescent="0.2">
      <c r="A408" s="9">
        <v>406</v>
      </c>
      <c r="B408" s="9">
        <f t="shared" ca="1" si="6"/>
        <v>0.74986208572408741</v>
      </c>
      <c r="C408" s="9" t="s">
        <v>22</v>
      </c>
    </row>
    <row r="409" spans="1:3" x14ac:dyDescent="0.2">
      <c r="A409" s="9">
        <v>407</v>
      </c>
      <c r="B409" s="9">
        <f t="shared" ca="1" si="6"/>
        <v>0.55449894810469036</v>
      </c>
      <c r="C409" s="9" t="s">
        <v>22</v>
      </c>
    </row>
    <row r="410" spans="1:3" x14ac:dyDescent="0.2">
      <c r="A410" s="9">
        <v>408</v>
      </c>
      <c r="B410" s="9">
        <f t="shared" ca="1" si="6"/>
        <v>0.67119683456470702</v>
      </c>
      <c r="C410" s="9" t="s">
        <v>21</v>
      </c>
    </row>
    <row r="411" spans="1:3" x14ac:dyDescent="0.2">
      <c r="A411" s="9">
        <v>409</v>
      </c>
      <c r="B411" s="9">
        <f t="shared" ca="1" si="6"/>
        <v>0.72358487763154489</v>
      </c>
      <c r="C411" s="9" t="s">
        <v>21</v>
      </c>
    </row>
    <row r="412" spans="1:3" x14ac:dyDescent="0.2">
      <c r="A412" s="9">
        <v>410</v>
      </c>
      <c r="B412" s="9">
        <f t="shared" ca="1" si="6"/>
        <v>0.79303760971477555</v>
      </c>
      <c r="C412" s="9" t="s">
        <v>21</v>
      </c>
    </row>
    <row r="413" spans="1:3" x14ac:dyDescent="0.2">
      <c r="A413" s="9">
        <v>411</v>
      </c>
      <c r="B413" s="9">
        <f t="shared" ca="1" si="6"/>
        <v>0.70976856924757448</v>
      </c>
      <c r="C413" s="9" t="s">
        <v>22</v>
      </c>
    </row>
    <row r="414" spans="1:3" x14ac:dyDescent="0.2">
      <c r="A414" s="9">
        <v>412</v>
      </c>
      <c r="B414" s="9">
        <f t="shared" ca="1" si="6"/>
        <v>0.63944016200429643</v>
      </c>
      <c r="C414" s="9" t="s">
        <v>22</v>
      </c>
    </row>
    <row r="415" spans="1:3" x14ac:dyDescent="0.2">
      <c r="A415" s="9">
        <v>413</v>
      </c>
      <c r="B415" s="9">
        <f t="shared" ca="1" si="6"/>
        <v>0.82238034986359798</v>
      </c>
      <c r="C415" s="9" t="s">
        <v>21</v>
      </c>
    </row>
    <row r="416" spans="1:3" x14ac:dyDescent="0.2">
      <c r="A416" s="9">
        <v>414</v>
      </c>
      <c r="B416" s="9">
        <f t="shared" ca="1" si="6"/>
        <v>0.56160977380723254</v>
      </c>
      <c r="C416" s="9" t="s">
        <v>21</v>
      </c>
    </row>
    <row r="417" spans="1:3" x14ac:dyDescent="0.2">
      <c r="A417" s="9">
        <v>415</v>
      </c>
      <c r="B417" s="9">
        <f t="shared" ca="1" si="6"/>
        <v>0.67713322460704284</v>
      </c>
      <c r="C417" s="9" t="s">
        <v>22</v>
      </c>
    </row>
    <row r="418" spans="1:3" x14ac:dyDescent="0.2">
      <c r="A418" s="9">
        <v>416</v>
      </c>
      <c r="B418" s="9">
        <f t="shared" ca="1" si="6"/>
        <v>0.7187882113556715</v>
      </c>
      <c r="C418" s="9" t="s">
        <v>21</v>
      </c>
    </row>
    <row r="419" spans="1:3" x14ac:dyDescent="0.2">
      <c r="A419" s="9">
        <v>417</v>
      </c>
      <c r="B419" s="9">
        <f t="shared" ca="1" si="6"/>
        <v>0.61665903124317989</v>
      </c>
      <c r="C419" s="9" t="s">
        <v>21</v>
      </c>
    </row>
    <row r="420" spans="1:3" x14ac:dyDescent="0.2">
      <c r="A420" s="9">
        <v>418</v>
      </c>
      <c r="B420" s="9">
        <f t="shared" ca="1" si="6"/>
        <v>0.55334540703670432</v>
      </c>
      <c r="C420" s="9" t="s">
        <v>22</v>
      </c>
    </row>
    <row r="421" spans="1:3" x14ac:dyDescent="0.2">
      <c r="A421" s="9">
        <v>419</v>
      </c>
      <c r="B421" s="9">
        <f t="shared" ca="1" si="6"/>
        <v>0.61878561633962936</v>
      </c>
      <c r="C421" s="9" t="s">
        <v>22</v>
      </c>
    </row>
    <row r="422" spans="1:3" x14ac:dyDescent="0.2">
      <c r="A422" s="9">
        <v>420</v>
      </c>
      <c r="B422" s="9">
        <f t="shared" ca="1" si="6"/>
        <v>0.57823135213956367</v>
      </c>
      <c r="C422" s="9" t="s">
        <v>21</v>
      </c>
    </row>
    <row r="423" spans="1:3" x14ac:dyDescent="0.2">
      <c r="A423" s="9">
        <v>421</v>
      </c>
      <c r="B423" s="9">
        <f t="shared" ca="1" si="6"/>
        <v>0.89144013570137426</v>
      </c>
      <c r="C423" s="9" t="s">
        <v>21</v>
      </c>
    </row>
    <row r="424" spans="1:3" x14ac:dyDescent="0.2">
      <c r="A424" s="9">
        <v>422</v>
      </c>
      <c r="B424" s="9">
        <f t="shared" ca="1" si="6"/>
        <v>0.45881344956147141</v>
      </c>
      <c r="C424" s="9" t="s">
        <v>22</v>
      </c>
    </row>
    <row r="425" spans="1:3" x14ac:dyDescent="0.2">
      <c r="A425" s="9">
        <v>423</v>
      </c>
      <c r="B425" s="9">
        <f t="shared" ca="1" si="6"/>
        <v>0.79695481003733371</v>
      </c>
      <c r="C425" s="9" t="s">
        <v>22</v>
      </c>
    </row>
    <row r="426" spans="1:3" x14ac:dyDescent="0.2">
      <c r="A426" s="9">
        <v>424</v>
      </c>
      <c r="B426" s="9">
        <f t="shared" ca="1" si="6"/>
        <v>0.21960236855810783</v>
      </c>
      <c r="C426" s="9" t="s">
        <v>22</v>
      </c>
    </row>
    <row r="427" spans="1:3" x14ac:dyDescent="0.2">
      <c r="A427" s="9">
        <v>425</v>
      </c>
      <c r="B427" s="9">
        <f t="shared" ca="1" si="6"/>
        <v>0.85587519962262004</v>
      </c>
      <c r="C427" s="9" t="s">
        <v>21</v>
      </c>
    </row>
    <row r="428" spans="1:3" x14ac:dyDescent="0.2">
      <c r="A428" s="9">
        <v>426</v>
      </c>
      <c r="B428" s="9">
        <f t="shared" ca="1" si="6"/>
        <v>0.46136634466762338</v>
      </c>
      <c r="C428" s="9" t="s">
        <v>22</v>
      </c>
    </row>
    <row r="429" spans="1:3" x14ac:dyDescent="0.2">
      <c r="A429" s="9">
        <v>427</v>
      </c>
      <c r="B429" s="9">
        <f t="shared" ca="1" si="6"/>
        <v>0.59171935495352224</v>
      </c>
      <c r="C429" s="9" t="s">
        <v>21</v>
      </c>
    </row>
    <row r="430" spans="1:3" x14ac:dyDescent="0.2">
      <c r="A430" s="9">
        <v>428</v>
      </c>
      <c r="B430" s="9">
        <f t="shared" ca="1" si="6"/>
        <v>0.60539529505736889</v>
      </c>
      <c r="C430" s="9" t="s">
        <v>22</v>
      </c>
    </row>
    <row r="431" spans="1:3" x14ac:dyDescent="0.2">
      <c r="A431" s="9">
        <v>429</v>
      </c>
      <c r="B431" s="9">
        <f t="shared" ca="1" si="6"/>
        <v>0.4885999824874323</v>
      </c>
      <c r="C431" s="9" t="s">
        <v>22</v>
      </c>
    </row>
    <row r="432" spans="1:3" x14ac:dyDescent="0.2">
      <c r="A432" s="9">
        <v>430</v>
      </c>
      <c r="B432" s="9">
        <f t="shared" ca="1" si="6"/>
        <v>0.75201934123754077</v>
      </c>
      <c r="C432" s="9" t="s">
        <v>21</v>
      </c>
    </row>
    <row r="433" spans="1:3" x14ac:dyDescent="0.2">
      <c r="A433" s="9">
        <v>431</v>
      </c>
      <c r="B433" s="9">
        <f t="shared" ca="1" si="6"/>
        <v>0.66379269736059032</v>
      </c>
      <c r="C433" s="9" t="s">
        <v>21</v>
      </c>
    </row>
    <row r="434" spans="1:3" x14ac:dyDescent="0.2">
      <c r="A434" s="9">
        <v>432</v>
      </c>
      <c r="B434" s="9">
        <f t="shared" ca="1" si="6"/>
        <v>0.28537749708057319</v>
      </c>
      <c r="C434" s="9" t="s">
        <v>22</v>
      </c>
    </row>
    <row r="435" spans="1:3" x14ac:dyDescent="0.2">
      <c r="A435" s="9">
        <v>433</v>
      </c>
      <c r="B435" s="9">
        <f t="shared" ca="1" si="6"/>
        <v>0.79134668472748237</v>
      </c>
      <c r="C435" s="9" t="s">
        <v>21</v>
      </c>
    </row>
    <row r="436" spans="1:3" x14ac:dyDescent="0.2">
      <c r="A436" s="9">
        <v>434</v>
      </c>
      <c r="B436" s="9">
        <f t="shared" ca="1" si="6"/>
        <v>0.40913664913564274</v>
      </c>
      <c r="C436" s="9" t="s">
        <v>22</v>
      </c>
    </row>
    <row r="437" spans="1:3" x14ac:dyDescent="0.2">
      <c r="A437" s="9">
        <v>435</v>
      </c>
      <c r="B437" s="9">
        <f t="shared" ca="1" si="6"/>
        <v>0.6443791308349005</v>
      </c>
      <c r="C437" s="9" t="s">
        <v>21</v>
      </c>
    </row>
    <row r="438" spans="1:3" x14ac:dyDescent="0.2">
      <c r="A438" s="9">
        <v>436</v>
      </c>
      <c r="B438" s="9">
        <f t="shared" ca="1" si="6"/>
        <v>0.6729212479602813</v>
      </c>
      <c r="C438" s="9" t="s">
        <v>21</v>
      </c>
    </row>
    <row r="439" spans="1:3" x14ac:dyDescent="0.2">
      <c r="A439" s="9">
        <v>437</v>
      </c>
      <c r="B439" s="9">
        <f t="shared" ca="1" si="6"/>
        <v>0.64022138565992048</v>
      </c>
      <c r="C439" s="9" t="s">
        <v>22</v>
      </c>
    </row>
    <row r="440" spans="1:3" x14ac:dyDescent="0.2">
      <c r="A440" s="9">
        <v>438</v>
      </c>
      <c r="B440" s="9">
        <f t="shared" ca="1" si="6"/>
        <v>0.80254330587883593</v>
      </c>
      <c r="C440" s="9" t="s">
        <v>21</v>
      </c>
    </row>
    <row r="441" spans="1:3" x14ac:dyDescent="0.2">
      <c r="A441" s="9">
        <v>439</v>
      </c>
      <c r="B441" s="9">
        <f t="shared" ca="1" si="6"/>
        <v>0.72707188362939967</v>
      </c>
      <c r="C441" s="9" t="s">
        <v>21</v>
      </c>
    </row>
    <row r="442" spans="1:3" x14ac:dyDescent="0.2">
      <c r="A442" s="9">
        <v>440</v>
      </c>
      <c r="B442" s="9">
        <f t="shared" ca="1" si="6"/>
        <v>0.75742544958891478</v>
      </c>
      <c r="C442" s="9" t="s">
        <v>21</v>
      </c>
    </row>
    <row r="443" spans="1:3" x14ac:dyDescent="0.2">
      <c r="A443" s="9">
        <v>441</v>
      </c>
      <c r="B443" s="9">
        <f t="shared" ca="1" si="6"/>
        <v>0.68153708065601704</v>
      </c>
      <c r="C443" s="9" t="s">
        <v>21</v>
      </c>
    </row>
    <row r="444" spans="1:3" x14ac:dyDescent="0.2">
      <c r="A444" s="9">
        <v>442</v>
      </c>
      <c r="B444" s="9">
        <f t="shared" ca="1" si="6"/>
        <v>0.85056417067876078</v>
      </c>
      <c r="C444" s="9" t="s">
        <v>21</v>
      </c>
    </row>
    <row r="445" spans="1:3" x14ac:dyDescent="0.2">
      <c r="A445" s="9">
        <v>443</v>
      </c>
      <c r="B445" s="9">
        <f t="shared" ca="1" si="6"/>
        <v>0.77523085927161794</v>
      </c>
      <c r="C445" s="9" t="s">
        <v>21</v>
      </c>
    </row>
    <row r="446" spans="1:3" x14ac:dyDescent="0.2">
      <c r="A446" s="9">
        <v>444</v>
      </c>
      <c r="B446" s="9">
        <f t="shared" ca="1" si="6"/>
        <v>0.57293715299090686</v>
      </c>
      <c r="C446" s="9" t="s">
        <v>22</v>
      </c>
    </row>
    <row r="447" spans="1:3" x14ac:dyDescent="0.2">
      <c r="A447" s="9">
        <v>445</v>
      </c>
      <c r="B447" s="9">
        <f t="shared" ca="1" si="6"/>
        <v>0.45599345858478924</v>
      </c>
      <c r="C447" s="9" t="s">
        <v>22</v>
      </c>
    </row>
    <row r="448" spans="1:3" x14ac:dyDescent="0.2">
      <c r="A448" s="9">
        <v>446</v>
      </c>
      <c r="B448" s="9">
        <f t="shared" ca="1" si="6"/>
        <v>0.70889960230028803</v>
      </c>
      <c r="C448" s="9" t="s">
        <v>21</v>
      </c>
    </row>
    <row r="449" spans="1:3" x14ac:dyDescent="0.2">
      <c r="A449" s="9">
        <v>447</v>
      </c>
      <c r="B449" s="9">
        <f t="shared" ca="1" si="6"/>
        <v>0.57555968529618584</v>
      </c>
      <c r="C449" s="9" t="s">
        <v>22</v>
      </c>
    </row>
    <row r="450" spans="1:3" x14ac:dyDescent="0.2">
      <c r="A450" s="9">
        <v>448</v>
      </c>
      <c r="B450" s="9">
        <f t="shared" ca="1" si="6"/>
        <v>0.76665654881188339</v>
      </c>
      <c r="C450" s="9" t="s">
        <v>21</v>
      </c>
    </row>
    <row r="451" spans="1:3" x14ac:dyDescent="0.2">
      <c r="A451" s="9">
        <v>449</v>
      </c>
      <c r="B451" s="9">
        <f t="shared" ca="1" si="6"/>
        <v>0.71704692334808895</v>
      </c>
      <c r="C451" s="9" t="s">
        <v>21</v>
      </c>
    </row>
    <row r="452" spans="1:3" x14ac:dyDescent="0.2">
      <c r="A452" s="9">
        <v>450</v>
      </c>
      <c r="B452" s="9">
        <f t="shared" ref="B452:B515" ca="1" si="7">IF(C452="Bomb",_xlfn.NORM.INV(RAND(),0.7,0.1),_xlfn.NORM.INV(RAND(),0.6,0.15))</f>
        <v>0.61554696306705248</v>
      </c>
      <c r="C452" s="9" t="s">
        <v>22</v>
      </c>
    </row>
    <row r="453" spans="1:3" x14ac:dyDescent="0.2">
      <c r="A453" s="9">
        <v>451</v>
      </c>
      <c r="B453" s="9">
        <f t="shared" ca="1" si="7"/>
        <v>0.65833198437160556</v>
      </c>
      <c r="C453" s="9" t="s">
        <v>21</v>
      </c>
    </row>
    <row r="454" spans="1:3" x14ac:dyDescent="0.2">
      <c r="A454" s="9">
        <v>452</v>
      </c>
      <c r="B454" s="9">
        <f t="shared" ca="1" si="7"/>
        <v>0.73770424045522232</v>
      </c>
      <c r="C454" s="9" t="s">
        <v>21</v>
      </c>
    </row>
    <row r="455" spans="1:3" x14ac:dyDescent="0.2">
      <c r="A455" s="9">
        <v>453</v>
      </c>
      <c r="B455" s="9">
        <f t="shared" ca="1" si="7"/>
        <v>0.41993166331195464</v>
      </c>
      <c r="C455" s="9" t="s">
        <v>22</v>
      </c>
    </row>
    <row r="456" spans="1:3" x14ac:dyDescent="0.2">
      <c r="A456" s="9">
        <v>454</v>
      </c>
      <c r="B456" s="9">
        <f t="shared" ca="1" si="7"/>
        <v>0.66536428859058572</v>
      </c>
      <c r="C456" s="9" t="s">
        <v>21</v>
      </c>
    </row>
    <row r="457" spans="1:3" x14ac:dyDescent="0.2">
      <c r="A457" s="9">
        <v>455</v>
      </c>
      <c r="B457" s="9">
        <f t="shared" ca="1" si="7"/>
        <v>0.64377759927276057</v>
      </c>
      <c r="C457" s="9" t="s">
        <v>22</v>
      </c>
    </row>
    <row r="458" spans="1:3" x14ac:dyDescent="0.2">
      <c r="A458" s="9">
        <v>456</v>
      </c>
      <c r="B458" s="9">
        <f t="shared" ca="1" si="7"/>
        <v>0.35246592307148461</v>
      </c>
      <c r="C458" s="9" t="s">
        <v>22</v>
      </c>
    </row>
    <row r="459" spans="1:3" x14ac:dyDescent="0.2">
      <c r="A459" s="9">
        <v>457</v>
      </c>
      <c r="B459" s="9">
        <f t="shared" ca="1" si="7"/>
        <v>0.68133014625146326</v>
      </c>
      <c r="C459" s="9" t="s">
        <v>22</v>
      </c>
    </row>
    <row r="460" spans="1:3" x14ac:dyDescent="0.2">
      <c r="A460" s="9">
        <v>458</v>
      </c>
      <c r="B460" s="9">
        <f t="shared" ca="1" si="7"/>
        <v>0.54299443799881386</v>
      </c>
      <c r="C460" s="9" t="s">
        <v>22</v>
      </c>
    </row>
    <row r="461" spans="1:3" x14ac:dyDescent="0.2">
      <c r="A461" s="9">
        <v>459</v>
      </c>
      <c r="B461" s="9">
        <f t="shared" ca="1" si="7"/>
        <v>0.75817923570705226</v>
      </c>
      <c r="C461" s="9" t="s">
        <v>21</v>
      </c>
    </row>
    <row r="462" spans="1:3" x14ac:dyDescent="0.2">
      <c r="A462" s="9">
        <v>460</v>
      </c>
      <c r="B462" s="9">
        <f t="shared" ca="1" si="7"/>
        <v>0.58298222153126411</v>
      </c>
      <c r="C462" s="9" t="s">
        <v>21</v>
      </c>
    </row>
    <row r="463" spans="1:3" x14ac:dyDescent="0.2">
      <c r="A463" s="9">
        <v>461</v>
      </c>
      <c r="B463" s="9">
        <f t="shared" ca="1" si="7"/>
        <v>0.70591020803983062</v>
      </c>
      <c r="C463" s="9" t="s">
        <v>22</v>
      </c>
    </row>
    <row r="464" spans="1:3" x14ac:dyDescent="0.2">
      <c r="A464" s="9">
        <v>462</v>
      </c>
      <c r="B464" s="9">
        <f t="shared" ca="1" si="7"/>
        <v>0.85904409238752644</v>
      </c>
      <c r="C464" s="9" t="s">
        <v>21</v>
      </c>
    </row>
    <row r="465" spans="1:3" x14ac:dyDescent="0.2">
      <c r="A465" s="9">
        <v>463</v>
      </c>
      <c r="B465" s="9">
        <f t="shared" ca="1" si="7"/>
        <v>0.52399462099857919</v>
      </c>
      <c r="C465" s="9" t="s">
        <v>21</v>
      </c>
    </row>
    <row r="466" spans="1:3" x14ac:dyDescent="0.2">
      <c r="A466" s="9">
        <v>464</v>
      </c>
      <c r="B466" s="9">
        <f t="shared" ca="1" si="7"/>
        <v>0.87030677403936507</v>
      </c>
      <c r="C466" s="9" t="s">
        <v>21</v>
      </c>
    </row>
    <row r="467" spans="1:3" x14ac:dyDescent="0.2">
      <c r="A467" s="9">
        <v>465</v>
      </c>
      <c r="B467" s="9">
        <f t="shared" ca="1" si="7"/>
        <v>0.5111137441603254</v>
      </c>
      <c r="C467" s="9" t="s">
        <v>21</v>
      </c>
    </row>
    <row r="468" spans="1:3" x14ac:dyDescent="0.2">
      <c r="A468" s="9">
        <v>466</v>
      </c>
      <c r="B468" s="9">
        <f t="shared" ca="1" si="7"/>
        <v>0.3957030160139815</v>
      </c>
      <c r="C468" s="9" t="s">
        <v>22</v>
      </c>
    </row>
    <row r="469" spans="1:3" x14ac:dyDescent="0.2">
      <c r="A469" s="9">
        <v>467</v>
      </c>
      <c r="B469" s="9">
        <f t="shared" ca="1" si="7"/>
        <v>0.64729404729933637</v>
      </c>
      <c r="C469" s="9" t="s">
        <v>22</v>
      </c>
    </row>
    <row r="470" spans="1:3" x14ac:dyDescent="0.2">
      <c r="A470" s="9">
        <v>468</v>
      </c>
      <c r="B470" s="9">
        <f t="shared" ca="1" si="7"/>
        <v>0.42655319986154772</v>
      </c>
      <c r="C470" s="9" t="s">
        <v>22</v>
      </c>
    </row>
    <row r="471" spans="1:3" x14ac:dyDescent="0.2">
      <c r="A471" s="9">
        <v>469</v>
      </c>
      <c r="B471" s="9">
        <f t="shared" ca="1" si="7"/>
        <v>0.72712171163341033</v>
      </c>
      <c r="C471" s="9" t="s">
        <v>21</v>
      </c>
    </row>
    <row r="472" spans="1:3" x14ac:dyDescent="0.2">
      <c r="A472" s="9">
        <v>470</v>
      </c>
      <c r="B472" s="9">
        <f t="shared" ca="1" si="7"/>
        <v>0.44461252878807278</v>
      </c>
      <c r="C472" s="9" t="s">
        <v>22</v>
      </c>
    </row>
    <row r="473" spans="1:3" x14ac:dyDescent="0.2">
      <c r="A473" s="9">
        <v>471</v>
      </c>
      <c r="B473" s="9">
        <f t="shared" ca="1" si="7"/>
        <v>0.79219496749798268</v>
      </c>
      <c r="C473" s="9" t="s">
        <v>21</v>
      </c>
    </row>
    <row r="474" spans="1:3" x14ac:dyDescent="0.2">
      <c r="A474" s="9">
        <v>472</v>
      </c>
      <c r="B474" s="9">
        <f t="shared" ca="1" si="7"/>
        <v>0.59504628236010748</v>
      </c>
      <c r="C474" s="9" t="s">
        <v>21</v>
      </c>
    </row>
    <row r="475" spans="1:3" x14ac:dyDescent="0.2">
      <c r="A475" s="9">
        <v>473</v>
      </c>
      <c r="B475" s="9">
        <f t="shared" ca="1" si="7"/>
        <v>0.54117875432391138</v>
      </c>
      <c r="C475" s="9" t="s">
        <v>21</v>
      </c>
    </row>
    <row r="476" spans="1:3" x14ac:dyDescent="0.2">
      <c r="A476" s="9">
        <v>474</v>
      </c>
      <c r="B476" s="9">
        <f t="shared" ca="1" si="7"/>
        <v>0.77680279887545756</v>
      </c>
      <c r="C476" s="9" t="s">
        <v>22</v>
      </c>
    </row>
    <row r="477" spans="1:3" x14ac:dyDescent="0.2">
      <c r="A477" s="9">
        <v>475</v>
      </c>
      <c r="B477" s="9">
        <f t="shared" ca="1" si="7"/>
        <v>0.85318720956059724</v>
      </c>
      <c r="C477" s="9" t="s">
        <v>21</v>
      </c>
    </row>
    <row r="478" spans="1:3" x14ac:dyDescent="0.2">
      <c r="A478" s="9">
        <v>476</v>
      </c>
      <c r="B478" s="9">
        <f t="shared" ca="1" si="7"/>
        <v>0.62051860475418952</v>
      </c>
      <c r="C478" s="9" t="s">
        <v>21</v>
      </c>
    </row>
    <row r="479" spans="1:3" x14ac:dyDescent="0.2">
      <c r="A479" s="9">
        <v>477</v>
      </c>
      <c r="B479" s="9">
        <f t="shared" ca="1" si="7"/>
        <v>0.58280878581211015</v>
      </c>
      <c r="C479" s="9" t="s">
        <v>22</v>
      </c>
    </row>
    <row r="480" spans="1:3" x14ac:dyDescent="0.2">
      <c r="A480" s="9">
        <v>478</v>
      </c>
      <c r="B480" s="9">
        <f t="shared" ca="1" si="7"/>
        <v>0.81921565675427466</v>
      </c>
      <c r="C480" s="9" t="s">
        <v>22</v>
      </c>
    </row>
    <row r="481" spans="1:3" x14ac:dyDescent="0.2">
      <c r="A481" s="9">
        <v>479</v>
      </c>
      <c r="B481" s="9">
        <f t="shared" ca="1" si="7"/>
        <v>0.63236771560882421</v>
      </c>
      <c r="C481" s="9" t="s">
        <v>21</v>
      </c>
    </row>
    <row r="482" spans="1:3" x14ac:dyDescent="0.2">
      <c r="A482" s="9">
        <v>480</v>
      </c>
      <c r="B482" s="9">
        <f t="shared" ca="1" si="7"/>
        <v>0.53235558777629299</v>
      </c>
      <c r="C482" s="9" t="s">
        <v>21</v>
      </c>
    </row>
    <row r="483" spans="1:3" x14ac:dyDescent="0.2">
      <c r="A483" s="9">
        <v>481</v>
      </c>
      <c r="B483" s="9">
        <f t="shared" ca="1" si="7"/>
        <v>0.3396323431286648</v>
      </c>
      <c r="C483" s="9" t="s">
        <v>22</v>
      </c>
    </row>
    <row r="484" spans="1:3" x14ac:dyDescent="0.2">
      <c r="A484" s="9">
        <v>482</v>
      </c>
      <c r="B484" s="9">
        <f t="shared" ca="1" si="7"/>
        <v>0.71374214414229864</v>
      </c>
      <c r="C484" s="9" t="s">
        <v>22</v>
      </c>
    </row>
    <row r="485" spans="1:3" x14ac:dyDescent="0.2">
      <c r="A485" s="9">
        <v>483</v>
      </c>
      <c r="B485" s="9">
        <f t="shared" ca="1" si="7"/>
        <v>0.69162065858466582</v>
      </c>
      <c r="C485" s="9" t="s">
        <v>21</v>
      </c>
    </row>
    <row r="486" spans="1:3" x14ac:dyDescent="0.2">
      <c r="A486" s="9">
        <v>484</v>
      </c>
      <c r="B486" s="9">
        <f t="shared" ca="1" si="7"/>
        <v>0.83324767154934909</v>
      </c>
      <c r="C486" s="9" t="s">
        <v>21</v>
      </c>
    </row>
    <row r="487" spans="1:3" x14ac:dyDescent="0.2">
      <c r="A487" s="9">
        <v>485</v>
      </c>
      <c r="B487" s="9">
        <f t="shared" ca="1" si="7"/>
        <v>0.68612946587010792</v>
      </c>
      <c r="C487" s="9" t="s">
        <v>21</v>
      </c>
    </row>
    <row r="488" spans="1:3" x14ac:dyDescent="0.2">
      <c r="A488" s="9">
        <v>486</v>
      </c>
      <c r="B488" s="9">
        <f t="shared" ca="1" si="7"/>
        <v>0.73641582205212142</v>
      </c>
      <c r="C488" s="9" t="s">
        <v>22</v>
      </c>
    </row>
    <row r="489" spans="1:3" x14ac:dyDescent="0.2">
      <c r="A489" s="9">
        <v>487</v>
      </c>
      <c r="B489" s="9">
        <f t="shared" ca="1" si="7"/>
        <v>0.79854682450557302</v>
      </c>
      <c r="C489" s="9" t="s">
        <v>21</v>
      </c>
    </row>
    <row r="490" spans="1:3" x14ac:dyDescent="0.2">
      <c r="A490" s="9">
        <v>488</v>
      </c>
      <c r="B490" s="9">
        <f t="shared" ca="1" si="7"/>
        <v>0.52651410371570773</v>
      </c>
      <c r="C490" s="9" t="s">
        <v>22</v>
      </c>
    </row>
    <row r="491" spans="1:3" x14ac:dyDescent="0.2">
      <c r="A491" s="9">
        <v>489</v>
      </c>
      <c r="B491" s="9">
        <f t="shared" ca="1" si="7"/>
        <v>0.37772764062016129</v>
      </c>
      <c r="C491" s="9" t="s">
        <v>22</v>
      </c>
    </row>
    <row r="492" spans="1:3" x14ac:dyDescent="0.2">
      <c r="A492" s="9">
        <v>490</v>
      </c>
      <c r="B492" s="9">
        <f t="shared" ca="1" si="7"/>
        <v>0.66421965783655368</v>
      </c>
      <c r="C492" s="9" t="s">
        <v>21</v>
      </c>
    </row>
    <row r="493" spans="1:3" x14ac:dyDescent="0.2">
      <c r="A493" s="9">
        <v>491</v>
      </c>
      <c r="B493" s="9">
        <f t="shared" ca="1" si="7"/>
        <v>0.4729201752743491</v>
      </c>
      <c r="C493" s="9" t="s">
        <v>22</v>
      </c>
    </row>
    <row r="494" spans="1:3" x14ac:dyDescent="0.2">
      <c r="A494" s="9">
        <v>492</v>
      </c>
      <c r="B494" s="9">
        <f t="shared" ca="1" si="7"/>
        <v>0.71390010543380111</v>
      </c>
      <c r="C494" s="9" t="s">
        <v>21</v>
      </c>
    </row>
    <row r="495" spans="1:3" x14ac:dyDescent="0.2">
      <c r="A495" s="9">
        <v>493</v>
      </c>
      <c r="B495" s="9">
        <f t="shared" ca="1" si="7"/>
        <v>0.36576195456402061</v>
      </c>
      <c r="C495" s="9" t="s">
        <v>22</v>
      </c>
    </row>
    <row r="496" spans="1:3" x14ac:dyDescent="0.2">
      <c r="A496" s="9">
        <v>494</v>
      </c>
      <c r="B496" s="9">
        <f t="shared" ca="1" si="7"/>
        <v>0.21986862198419627</v>
      </c>
      <c r="C496" s="9" t="s">
        <v>22</v>
      </c>
    </row>
    <row r="497" spans="1:3" x14ac:dyDescent="0.2">
      <c r="A497" s="9">
        <v>495</v>
      </c>
      <c r="B497" s="9">
        <f t="shared" ca="1" si="7"/>
        <v>0.65287204093234508</v>
      </c>
      <c r="C497" s="9" t="s">
        <v>21</v>
      </c>
    </row>
    <row r="498" spans="1:3" x14ac:dyDescent="0.2">
      <c r="A498" s="9">
        <v>496</v>
      </c>
      <c r="B498" s="9">
        <f t="shared" ca="1" si="7"/>
        <v>0.69518873109492296</v>
      </c>
      <c r="C498" s="9" t="s">
        <v>21</v>
      </c>
    </row>
    <row r="499" spans="1:3" x14ac:dyDescent="0.2">
      <c r="A499" s="9">
        <v>497</v>
      </c>
      <c r="B499" s="9">
        <f t="shared" ca="1" si="7"/>
        <v>0.51908238923387695</v>
      </c>
      <c r="C499" s="9" t="s">
        <v>21</v>
      </c>
    </row>
    <row r="500" spans="1:3" x14ac:dyDescent="0.2">
      <c r="A500" s="9">
        <v>498</v>
      </c>
      <c r="B500" s="9">
        <f t="shared" ca="1" si="7"/>
        <v>0.66132154300270607</v>
      </c>
      <c r="C500" s="9" t="s">
        <v>22</v>
      </c>
    </row>
    <row r="501" spans="1:3" x14ac:dyDescent="0.2">
      <c r="A501" s="9">
        <v>499</v>
      </c>
      <c r="B501" s="9">
        <f t="shared" ca="1" si="7"/>
        <v>0.69938307230831587</v>
      </c>
      <c r="C501" s="9" t="s">
        <v>21</v>
      </c>
    </row>
    <row r="502" spans="1:3" x14ac:dyDescent="0.2">
      <c r="A502" s="9">
        <v>500</v>
      </c>
      <c r="B502" s="9">
        <f t="shared" ca="1" si="7"/>
        <v>0.58403524402924678</v>
      </c>
      <c r="C502" s="9" t="s">
        <v>21</v>
      </c>
    </row>
    <row r="503" spans="1:3" x14ac:dyDescent="0.2">
      <c r="A503" s="9">
        <v>501</v>
      </c>
      <c r="B503" s="9">
        <f t="shared" ca="1" si="7"/>
        <v>0.72127119802065798</v>
      </c>
      <c r="C503" s="9" t="s">
        <v>22</v>
      </c>
    </row>
    <row r="504" spans="1:3" x14ac:dyDescent="0.2">
      <c r="A504" s="9">
        <v>502</v>
      </c>
      <c r="B504" s="9">
        <f t="shared" ca="1" si="7"/>
        <v>0.51661242648653827</v>
      </c>
      <c r="C504" s="9" t="s">
        <v>22</v>
      </c>
    </row>
    <row r="505" spans="1:3" x14ac:dyDescent="0.2">
      <c r="A505" s="9">
        <v>503</v>
      </c>
      <c r="B505" s="9">
        <f t="shared" ca="1" si="7"/>
        <v>0.72682607995196769</v>
      </c>
      <c r="C505" s="9" t="s">
        <v>22</v>
      </c>
    </row>
    <row r="506" spans="1:3" x14ac:dyDescent="0.2">
      <c r="A506" s="9">
        <v>504</v>
      </c>
      <c r="B506" s="9">
        <f t="shared" ca="1" si="7"/>
        <v>0.63910537536001877</v>
      </c>
      <c r="C506" s="9" t="s">
        <v>22</v>
      </c>
    </row>
    <row r="507" spans="1:3" x14ac:dyDescent="0.2">
      <c r="A507" s="9">
        <v>505</v>
      </c>
      <c r="B507" s="9">
        <f t="shared" ca="1" si="7"/>
        <v>0.66422785562221098</v>
      </c>
      <c r="C507" s="9" t="s">
        <v>21</v>
      </c>
    </row>
    <row r="508" spans="1:3" x14ac:dyDescent="0.2">
      <c r="A508" s="9">
        <v>506</v>
      </c>
      <c r="B508" s="9">
        <f t="shared" ca="1" si="7"/>
        <v>0.57784706471100455</v>
      </c>
      <c r="C508" s="9" t="s">
        <v>21</v>
      </c>
    </row>
    <row r="509" spans="1:3" x14ac:dyDescent="0.2">
      <c r="A509" s="9">
        <v>507</v>
      </c>
      <c r="B509" s="9">
        <f t="shared" ca="1" si="7"/>
        <v>0.61791651319533336</v>
      </c>
      <c r="C509" s="9" t="s">
        <v>21</v>
      </c>
    </row>
    <row r="510" spans="1:3" x14ac:dyDescent="0.2">
      <c r="A510" s="9">
        <v>508</v>
      </c>
      <c r="B510" s="9">
        <f t="shared" ca="1" si="7"/>
        <v>0.80411493330385464</v>
      </c>
      <c r="C510" s="9" t="s">
        <v>22</v>
      </c>
    </row>
    <row r="511" spans="1:3" x14ac:dyDescent="0.2">
      <c r="A511" s="9">
        <v>509</v>
      </c>
      <c r="B511" s="9">
        <f t="shared" ca="1" si="7"/>
        <v>0.79304286807639801</v>
      </c>
      <c r="C511" s="9" t="s">
        <v>21</v>
      </c>
    </row>
    <row r="512" spans="1:3" x14ac:dyDescent="0.2">
      <c r="A512" s="9">
        <v>510</v>
      </c>
      <c r="B512" s="9">
        <f t="shared" ca="1" si="7"/>
        <v>0.75306172951769912</v>
      </c>
      <c r="C512" s="9" t="s">
        <v>21</v>
      </c>
    </row>
    <row r="513" spans="1:3" x14ac:dyDescent="0.2">
      <c r="A513" s="9">
        <v>511</v>
      </c>
      <c r="B513" s="9">
        <f t="shared" ca="1" si="7"/>
        <v>0.72921645268593027</v>
      </c>
      <c r="C513" s="9" t="s">
        <v>21</v>
      </c>
    </row>
    <row r="514" spans="1:3" x14ac:dyDescent="0.2">
      <c r="A514" s="9">
        <v>512</v>
      </c>
      <c r="B514" s="9">
        <f t="shared" ca="1" si="7"/>
        <v>0.75979284646716727</v>
      </c>
      <c r="C514" s="9" t="s">
        <v>21</v>
      </c>
    </row>
    <row r="515" spans="1:3" x14ac:dyDescent="0.2">
      <c r="A515" s="9">
        <v>513</v>
      </c>
      <c r="B515" s="9">
        <f t="shared" ca="1" si="7"/>
        <v>0.71886523108357936</v>
      </c>
      <c r="C515" s="9" t="s">
        <v>21</v>
      </c>
    </row>
    <row r="516" spans="1:3" x14ac:dyDescent="0.2">
      <c r="A516" s="9">
        <v>514</v>
      </c>
      <c r="B516" s="9">
        <f t="shared" ref="B516:B579" ca="1" si="8">IF(C516="Bomb",_xlfn.NORM.INV(RAND(),0.7,0.1),_xlfn.NORM.INV(RAND(),0.6,0.15))</f>
        <v>0.8819081750150215</v>
      </c>
      <c r="C516" s="9" t="s">
        <v>22</v>
      </c>
    </row>
    <row r="517" spans="1:3" x14ac:dyDescent="0.2">
      <c r="A517" s="9">
        <v>515</v>
      </c>
      <c r="B517" s="9">
        <f t="shared" ca="1" si="8"/>
        <v>0.54745749007216693</v>
      </c>
      <c r="C517" s="9" t="s">
        <v>21</v>
      </c>
    </row>
    <row r="518" spans="1:3" x14ac:dyDescent="0.2">
      <c r="A518" s="9">
        <v>516</v>
      </c>
      <c r="B518" s="9">
        <f t="shared" ca="1" si="8"/>
        <v>0.70599279872636811</v>
      </c>
      <c r="C518" s="9" t="s">
        <v>21</v>
      </c>
    </row>
    <row r="519" spans="1:3" x14ac:dyDescent="0.2">
      <c r="A519" s="9">
        <v>517</v>
      </c>
      <c r="B519" s="9">
        <f t="shared" ca="1" si="8"/>
        <v>0.61316358828776396</v>
      </c>
      <c r="C519" s="9" t="s">
        <v>21</v>
      </c>
    </row>
    <row r="520" spans="1:3" x14ac:dyDescent="0.2">
      <c r="A520" s="9">
        <v>518</v>
      </c>
      <c r="B520" s="9">
        <f t="shared" ca="1" si="8"/>
        <v>0.59013904227058145</v>
      </c>
      <c r="C520" s="9" t="s">
        <v>22</v>
      </c>
    </row>
    <row r="521" spans="1:3" x14ac:dyDescent="0.2">
      <c r="A521" s="9">
        <v>519</v>
      </c>
      <c r="B521" s="9">
        <f t="shared" ca="1" si="8"/>
        <v>0.78301922818909242</v>
      </c>
      <c r="C521" s="9" t="s">
        <v>21</v>
      </c>
    </row>
    <row r="522" spans="1:3" x14ac:dyDescent="0.2">
      <c r="A522" s="9">
        <v>520</v>
      </c>
      <c r="B522" s="9">
        <f t="shared" ca="1" si="8"/>
        <v>0.43405391513408781</v>
      </c>
      <c r="C522" s="9" t="s">
        <v>22</v>
      </c>
    </row>
    <row r="523" spans="1:3" x14ac:dyDescent="0.2">
      <c r="A523" s="9">
        <v>521</v>
      </c>
      <c r="B523" s="9">
        <f t="shared" ca="1" si="8"/>
        <v>0.74252298477953449</v>
      </c>
      <c r="C523" s="9" t="s">
        <v>22</v>
      </c>
    </row>
    <row r="524" spans="1:3" x14ac:dyDescent="0.2">
      <c r="A524" s="9">
        <v>522</v>
      </c>
      <c r="B524" s="9">
        <f t="shared" ca="1" si="8"/>
        <v>0.76388045420490225</v>
      </c>
      <c r="C524" s="9" t="s">
        <v>21</v>
      </c>
    </row>
    <row r="525" spans="1:3" x14ac:dyDescent="0.2">
      <c r="A525" s="9">
        <v>523</v>
      </c>
      <c r="B525" s="9">
        <f t="shared" ca="1" si="8"/>
        <v>0.45621283015539327</v>
      </c>
      <c r="C525" s="9" t="s">
        <v>21</v>
      </c>
    </row>
    <row r="526" spans="1:3" x14ac:dyDescent="0.2">
      <c r="A526" s="9">
        <v>524</v>
      </c>
      <c r="B526" s="9">
        <f t="shared" ca="1" si="8"/>
        <v>0.35934167427501285</v>
      </c>
      <c r="C526" s="9" t="s">
        <v>22</v>
      </c>
    </row>
    <row r="527" spans="1:3" x14ac:dyDescent="0.2">
      <c r="A527" s="9">
        <v>525</v>
      </c>
      <c r="B527" s="9">
        <f t="shared" ca="1" si="8"/>
        <v>0.83713065498126071</v>
      </c>
      <c r="C527" s="9" t="s">
        <v>21</v>
      </c>
    </row>
    <row r="528" spans="1:3" x14ac:dyDescent="0.2">
      <c r="A528" s="9">
        <v>526</v>
      </c>
      <c r="B528" s="9">
        <f t="shared" ca="1" si="8"/>
        <v>0.4017473619657041</v>
      </c>
      <c r="C528" s="9" t="s">
        <v>22</v>
      </c>
    </row>
    <row r="529" spans="1:3" x14ac:dyDescent="0.2">
      <c r="A529" s="9">
        <v>527</v>
      </c>
      <c r="B529" s="9">
        <f t="shared" ca="1" si="8"/>
        <v>0.92490969645485155</v>
      </c>
      <c r="C529" s="9" t="s">
        <v>22</v>
      </c>
    </row>
    <row r="530" spans="1:3" x14ac:dyDescent="0.2">
      <c r="A530" s="9">
        <v>528</v>
      </c>
      <c r="B530" s="9">
        <f t="shared" ca="1" si="8"/>
        <v>0.72611392719407508</v>
      </c>
      <c r="C530" s="9" t="s">
        <v>21</v>
      </c>
    </row>
    <row r="531" spans="1:3" x14ac:dyDescent="0.2">
      <c r="A531" s="9">
        <v>529</v>
      </c>
      <c r="B531" s="9">
        <f t="shared" ca="1" si="8"/>
        <v>0.81336949210056142</v>
      </c>
      <c r="C531" s="9" t="s">
        <v>21</v>
      </c>
    </row>
    <row r="532" spans="1:3" x14ac:dyDescent="0.2">
      <c r="A532" s="9">
        <v>530</v>
      </c>
      <c r="B532" s="9">
        <f t="shared" ca="1" si="8"/>
        <v>0.60698688613471663</v>
      </c>
      <c r="C532" s="9" t="s">
        <v>22</v>
      </c>
    </row>
    <row r="533" spans="1:3" x14ac:dyDescent="0.2">
      <c r="A533" s="9">
        <v>531</v>
      </c>
      <c r="B533" s="9">
        <f t="shared" ca="1" si="8"/>
        <v>0.57058385915461574</v>
      </c>
      <c r="C533" s="9" t="s">
        <v>21</v>
      </c>
    </row>
    <row r="534" spans="1:3" x14ac:dyDescent="0.2">
      <c r="A534" s="9">
        <v>532</v>
      </c>
      <c r="B534" s="9">
        <f t="shared" ca="1" si="8"/>
        <v>0.46073618027452989</v>
      </c>
      <c r="C534" s="9" t="s">
        <v>22</v>
      </c>
    </row>
    <row r="535" spans="1:3" x14ac:dyDescent="0.2">
      <c r="A535" s="9">
        <v>533</v>
      </c>
      <c r="B535" s="9">
        <f t="shared" ca="1" si="8"/>
        <v>0.51686193444731365</v>
      </c>
      <c r="C535" s="9" t="s">
        <v>22</v>
      </c>
    </row>
    <row r="536" spans="1:3" x14ac:dyDescent="0.2">
      <c r="A536" s="9">
        <v>534</v>
      </c>
      <c r="B536" s="9">
        <f t="shared" ca="1" si="8"/>
        <v>0.81808673597956527</v>
      </c>
      <c r="C536" s="9" t="s">
        <v>21</v>
      </c>
    </row>
    <row r="537" spans="1:3" x14ac:dyDescent="0.2">
      <c r="A537" s="9">
        <v>535</v>
      </c>
      <c r="B537" s="9">
        <f t="shared" ca="1" si="8"/>
        <v>0.75178860550381488</v>
      </c>
      <c r="C537" s="9" t="s">
        <v>22</v>
      </c>
    </row>
    <row r="538" spans="1:3" x14ac:dyDescent="0.2">
      <c r="A538" s="9">
        <v>536</v>
      </c>
      <c r="B538" s="9">
        <f t="shared" ca="1" si="8"/>
        <v>0.57391716767099954</v>
      </c>
      <c r="C538" s="9" t="s">
        <v>22</v>
      </c>
    </row>
    <row r="539" spans="1:3" x14ac:dyDescent="0.2">
      <c r="A539" s="9">
        <v>537</v>
      </c>
      <c r="B539" s="9">
        <f t="shared" ca="1" si="8"/>
        <v>0.67709147574855932</v>
      </c>
      <c r="C539" s="9" t="s">
        <v>22</v>
      </c>
    </row>
    <row r="540" spans="1:3" x14ac:dyDescent="0.2">
      <c r="A540" s="9">
        <v>538</v>
      </c>
      <c r="B540" s="9">
        <f t="shared" ca="1" si="8"/>
        <v>0.59167909872226709</v>
      </c>
      <c r="C540" s="9" t="s">
        <v>21</v>
      </c>
    </row>
    <row r="541" spans="1:3" x14ac:dyDescent="0.2">
      <c r="A541" s="9">
        <v>539</v>
      </c>
      <c r="B541" s="9">
        <f t="shared" ca="1" si="8"/>
        <v>0.60817559951868971</v>
      </c>
      <c r="C541" s="9" t="s">
        <v>22</v>
      </c>
    </row>
    <row r="542" spans="1:3" x14ac:dyDescent="0.2">
      <c r="A542" s="9">
        <v>540</v>
      </c>
      <c r="B542" s="9">
        <f t="shared" ca="1" si="8"/>
        <v>0.65091346778656756</v>
      </c>
      <c r="C542" s="9" t="s">
        <v>22</v>
      </c>
    </row>
    <row r="543" spans="1:3" x14ac:dyDescent="0.2">
      <c r="A543" s="9">
        <v>541</v>
      </c>
      <c r="B543" s="9">
        <f t="shared" ca="1" si="8"/>
        <v>0.45088802063907335</v>
      </c>
      <c r="C543" s="9" t="s">
        <v>22</v>
      </c>
    </row>
    <row r="544" spans="1:3" x14ac:dyDescent="0.2">
      <c r="A544" s="9">
        <v>542</v>
      </c>
      <c r="B544" s="9">
        <f t="shared" ca="1" si="8"/>
        <v>0.81989631702733845</v>
      </c>
      <c r="C544" s="9" t="s">
        <v>21</v>
      </c>
    </row>
    <row r="545" spans="1:3" x14ac:dyDescent="0.2">
      <c r="A545" s="9">
        <v>543</v>
      </c>
      <c r="B545" s="9">
        <f t="shared" ca="1" si="8"/>
        <v>0.62819270317072973</v>
      </c>
      <c r="C545" s="9" t="s">
        <v>21</v>
      </c>
    </row>
    <row r="546" spans="1:3" x14ac:dyDescent="0.2">
      <c r="A546" s="9">
        <v>544</v>
      </c>
      <c r="B546" s="9">
        <f t="shared" ca="1" si="8"/>
        <v>0.64010277565461837</v>
      </c>
      <c r="C546" s="9" t="s">
        <v>21</v>
      </c>
    </row>
    <row r="547" spans="1:3" x14ac:dyDescent="0.2">
      <c r="A547" s="9">
        <v>545</v>
      </c>
      <c r="B547" s="9">
        <f t="shared" ca="1" si="8"/>
        <v>0.86527230289740586</v>
      </c>
      <c r="C547" s="9" t="s">
        <v>22</v>
      </c>
    </row>
    <row r="548" spans="1:3" x14ac:dyDescent="0.2">
      <c r="A548" s="9">
        <v>546</v>
      </c>
      <c r="B548" s="9">
        <f t="shared" ca="1" si="8"/>
        <v>0.834787251026193</v>
      </c>
      <c r="C548" s="9" t="s">
        <v>22</v>
      </c>
    </row>
    <row r="549" spans="1:3" x14ac:dyDescent="0.2">
      <c r="A549" s="9">
        <v>547</v>
      </c>
      <c r="B549" s="9">
        <f t="shared" ca="1" si="8"/>
        <v>0.65581683092982124</v>
      </c>
      <c r="C549" s="9" t="s">
        <v>21</v>
      </c>
    </row>
    <row r="550" spans="1:3" x14ac:dyDescent="0.2">
      <c r="A550" s="9">
        <v>548</v>
      </c>
      <c r="B550" s="9">
        <f t="shared" ca="1" si="8"/>
        <v>0.57261041862915418</v>
      </c>
      <c r="C550" s="9" t="s">
        <v>21</v>
      </c>
    </row>
    <row r="551" spans="1:3" x14ac:dyDescent="0.2">
      <c r="A551" s="9">
        <v>549</v>
      </c>
      <c r="B551" s="9">
        <f t="shared" ca="1" si="8"/>
        <v>0.54705912387740985</v>
      </c>
      <c r="C551" s="9" t="s">
        <v>22</v>
      </c>
    </row>
    <row r="552" spans="1:3" x14ac:dyDescent="0.2">
      <c r="A552" s="9">
        <v>550</v>
      </c>
      <c r="B552" s="9">
        <f t="shared" ca="1" si="8"/>
        <v>0.69148350995444097</v>
      </c>
      <c r="C552" s="9" t="s">
        <v>21</v>
      </c>
    </row>
    <row r="553" spans="1:3" x14ac:dyDescent="0.2">
      <c r="A553" s="9">
        <v>551</v>
      </c>
      <c r="B553" s="9">
        <f t="shared" ca="1" si="8"/>
        <v>0.66720945771061679</v>
      </c>
      <c r="C553" s="9" t="s">
        <v>22</v>
      </c>
    </row>
    <row r="554" spans="1:3" x14ac:dyDescent="0.2">
      <c r="A554" s="9">
        <v>552</v>
      </c>
      <c r="B554" s="9">
        <f t="shared" ca="1" si="8"/>
        <v>0.50503289394829154</v>
      </c>
      <c r="C554" s="9" t="s">
        <v>22</v>
      </c>
    </row>
    <row r="555" spans="1:3" x14ac:dyDescent="0.2">
      <c r="A555" s="9">
        <v>553</v>
      </c>
      <c r="B555" s="9">
        <f t="shared" ca="1" si="8"/>
        <v>0.6783678501329482</v>
      </c>
      <c r="C555" s="9" t="s">
        <v>22</v>
      </c>
    </row>
    <row r="556" spans="1:3" x14ac:dyDescent="0.2">
      <c r="A556" s="9">
        <v>554</v>
      </c>
      <c r="B556" s="9">
        <f t="shared" ca="1" si="8"/>
        <v>0.76712775259622312</v>
      </c>
      <c r="C556" s="9" t="s">
        <v>21</v>
      </c>
    </row>
    <row r="557" spans="1:3" x14ac:dyDescent="0.2">
      <c r="A557" s="9">
        <v>555</v>
      </c>
      <c r="B557" s="9">
        <f t="shared" ca="1" si="8"/>
        <v>0.56694231850977139</v>
      </c>
      <c r="C557" s="9" t="s">
        <v>22</v>
      </c>
    </row>
    <row r="558" spans="1:3" x14ac:dyDescent="0.2">
      <c r="A558" s="9">
        <v>556</v>
      </c>
      <c r="B558" s="9">
        <f t="shared" ca="1" si="8"/>
        <v>0.755072753865076</v>
      </c>
      <c r="C558" s="9" t="s">
        <v>21</v>
      </c>
    </row>
    <row r="559" spans="1:3" x14ac:dyDescent="0.2">
      <c r="A559" s="9">
        <v>557</v>
      </c>
      <c r="B559" s="9">
        <f t="shared" ca="1" si="8"/>
        <v>0.46459768549375141</v>
      </c>
      <c r="C559" s="9" t="s">
        <v>21</v>
      </c>
    </row>
    <row r="560" spans="1:3" x14ac:dyDescent="0.2">
      <c r="A560" s="9">
        <v>558</v>
      </c>
      <c r="B560" s="9">
        <f t="shared" ca="1" si="8"/>
        <v>0.43188422087566036</v>
      </c>
      <c r="C560" s="9" t="s">
        <v>22</v>
      </c>
    </row>
    <row r="561" spans="1:3" x14ac:dyDescent="0.2">
      <c r="A561" s="9">
        <v>559</v>
      </c>
      <c r="B561" s="9">
        <f t="shared" ca="1" si="8"/>
        <v>0.60509258931641374</v>
      </c>
      <c r="C561" s="9" t="s">
        <v>21</v>
      </c>
    </row>
    <row r="562" spans="1:3" x14ac:dyDescent="0.2">
      <c r="A562" s="9">
        <v>560</v>
      </c>
      <c r="B562" s="9">
        <f t="shared" ca="1" si="8"/>
        <v>0.52586155803027501</v>
      </c>
      <c r="C562" s="9" t="s">
        <v>22</v>
      </c>
    </row>
    <row r="563" spans="1:3" x14ac:dyDescent="0.2">
      <c r="A563" s="9">
        <v>561</v>
      </c>
      <c r="B563" s="9">
        <f t="shared" ca="1" si="8"/>
        <v>0.90199142455247583</v>
      </c>
      <c r="C563" s="9" t="s">
        <v>22</v>
      </c>
    </row>
    <row r="564" spans="1:3" x14ac:dyDescent="0.2">
      <c r="A564" s="9">
        <v>562</v>
      </c>
      <c r="B564" s="9">
        <f t="shared" ca="1" si="8"/>
        <v>0.6063656131818832</v>
      </c>
      <c r="C564" s="9" t="s">
        <v>22</v>
      </c>
    </row>
    <row r="565" spans="1:3" x14ac:dyDescent="0.2">
      <c r="A565" s="9">
        <v>563</v>
      </c>
      <c r="B565" s="9">
        <f t="shared" ca="1" si="8"/>
        <v>0.32448688080717869</v>
      </c>
      <c r="C565" s="9" t="s">
        <v>22</v>
      </c>
    </row>
    <row r="566" spans="1:3" x14ac:dyDescent="0.2">
      <c r="A566" s="9">
        <v>564</v>
      </c>
      <c r="B566" s="9">
        <f t="shared" ca="1" si="8"/>
        <v>0.64589551700979386</v>
      </c>
      <c r="C566" s="9" t="s">
        <v>22</v>
      </c>
    </row>
    <row r="567" spans="1:3" x14ac:dyDescent="0.2">
      <c r="A567" s="9">
        <v>565</v>
      </c>
      <c r="B567" s="9">
        <f t="shared" ca="1" si="8"/>
        <v>0.84382970752403963</v>
      </c>
      <c r="C567" s="9" t="s">
        <v>22</v>
      </c>
    </row>
    <row r="568" spans="1:3" x14ac:dyDescent="0.2">
      <c r="A568" s="9">
        <v>566</v>
      </c>
      <c r="B568" s="9">
        <f t="shared" ca="1" si="8"/>
        <v>0.88248196301122239</v>
      </c>
      <c r="C568" s="9" t="s">
        <v>21</v>
      </c>
    </row>
    <row r="569" spans="1:3" x14ac:dyDescent="0.2">
      <c r="A569" s="9">
        <v>567</v>
      </c>
      <c r="B569" s="9">
        <f t="shared" ca="1" si="8"/>
        <v>0.59150441800930575</v>
      </c>
      <c r="C569" s="9" t="s">
        <v>21</v>
      </c>
    </row>
    <row r="570" spans="1:3" x14ac:dyDescent="0.2">
      <c r="A570" s="9">
        <v>568</v>
      </c>
      <c r="B570" s="9">
        <f t="shared" ca="1" si="8"/>
        <v>0.58361258758006129</v>
      </c>
      <c r="C570" s="9" t="s">
        <v>21</v>
      </c>
    </row>
    <row r="571" spans="1:3" x14ac:dyDescent="0.2">
      <c r="A571" s="9">
        <v>569</v>
      </c>
      <c r="B571" s="9">
        <f t="shared" ca="1" si="8"/>
        <v>0.57768916628075584</v>
      </c>
      <c r="C571" s="9" t="s">
        <v>22</v>
      </c>
    </row>
    <row r="572" spans="1:3" x14ac:dyDescent="0.2">
      <c r="A572" s="9">
        <v>570</v>
      </c>
      <c r="B572" s="9">
        <f t="shared" ca="1" si="8"/>
        <v>0.61295054294224416</v>
      </c>
      <c r="C572" s="9" t="s">
        <v>21</v>
      </c>
    </row>
    <row r="573" spans="1:3" x14ac:dyDescent="0.2">
      <c r="A573" s="9">
        <v>571</v>
      </c>
      <c r="B573" s="9">
        <f t="shared" ca="1" si="8"/>
        <v>0.29067930024220545</v>
      </c>
      <c r="C573" s="9" t="s">
        <v>22</v>
      </c>
    </row>
    <row r="574" spans="1:3" x14ac:dyDescent="0.2">
      <c r="A574" s="9">
        <v>572</v>
      </c>
      <c r="B574" s="9">
        <f t="shared" ca="1" si="8"/>
        <v>0.72012948186153014</v>
      </c>
      <c r="C574" s="9" t="s">
        <v>21</v>
      </c>
    </row>
    <row r="575" spans="1:3" x14ac:dyDescent="0.2">
      <c r="A575" s="9">
        <v>573</v>
      </c>
      <c r="B575" s="9">
        <f t="shared" ca="1" si="8"/>
        <v>0.67421703597514171</v>
      </c>
      <c r="C575" s="9" t="s">
        <v>21</v>
      </c>
    </row>
    <row r="576" spans="1:3" x14ac:dyDescent="0.2">
      <c r="A576" s="9">
        <v>574</v>
      </c>
      <c r="B576" s="9">
        <f t="shared" ca="1" si="8"/>
        <v>0.68166727441995811</v>
      </c>
      <c r="C576" s="9" t="s">
        <v>21</v>
      </c>
    </row>
    <row r="577" spans="1:3" x14ac:dyDescent="0.2">
      <c r="A577" s="9">
        <v>575</v>
      </c>
      <c r="B577" s="9">
        <f t="shared" ca="1" si="8"/>
        <v>0.66072403434322513</v>
      </c>
      <c r="C577" s="9" t="s">
        <v>22</v>
      </c>
    </row>
    <row r="578" spans="1:3" x14ac:dyDescent="0.2">
      <c r="A578" s="9">
        <v>576</v>
      </c>
      <c r="B578" s="9">
        <f t="shared" ca="1" si="8"/>
        <v>0.68304450846712372</v>
      </c>
      <c r="C578" s="9" t="s">
        <v>22</v>
      </c>
    </row>
    <row r="579" spans="1:3" x14ac:dyDescent="0.2">
      <c r="A579" s="9">
        <v>577</v>
      </c>
      <c r="B579" s="9">
        <f t="shared" ca="1" si="8"/>
        <v>0.67969839598066273</v>
      </c>
      <c r="C579" s="9" t="s">
        <v>22</v>
      </c>
    </row>
    <row r="580" spans="1:3" x14ac:dyDescent="0.2">
      <c r="A580" s="9">
        <v>578</v>
      </c>
      <c r="B580" s="9">
        <f t="shared" ref="B580:B643" ca="1" si="9">IF(C580="Bomb",_xlfn.NORM.INV(RAND(),0.7,0.1),_xlfn.NORM.INV(RAND(),0.6,0.15))</f>
        <v>0.65293797977127266</v>
      </c>
      <c r="C580" s="9" t="s">
        <v>21</v>
      </c>
    </row>
    <row r="581" spans="1:3" x14ac:dyDescent="0.2">
      <c r="A581" s="9">
        <v>579</v>
      </c>
      <c r="B581" s="9">
        <f t="shared" ca="1" si="9"/>
        <v>0.82323123752547245</v>
      </c>
      <c r="C581" s="9" t="s">
        <v>21</v>
      </c>
    </row>
    <row r="582" spans="1:3" x14ac:dyDescent="0.2">
      <c r="A582" s="9">
        <v>580</v>
      </c>
      <c r="B582" s="9">
        <f t="shared" ca="1" si="9"/>
        <v>0.7735542499358995</v>
      </c>
      <c r="C582" s="9" t="s">
        <v>21</v>
      </c>
    </row>
    <row r="583" spans="1:3" x14ac:dyDescent="0.2">
      <c r="A583" s="9">
        <v>581</v>
      </c>
      <c r="B583" s="9">
        <f t="shared" ca="1" si="9"/>
        <v>0.49649492750749263</v>
      </c>
      <c r="C583" s="9" t="s">
        <v>22</v>
      </c>
    </row>
    <row r="584" spans="1:3" x14ac:dyDescent="0.2">
      <c r="A584" s="9">
        <v>582</v>
      </c>
      <c r="B584" s="9">
        <f t="shared" ca="1" si="9"/>
        <v>0.8860945374708018</v>
      </c>
      <c r="C584" s="9" t="s">
        <v>21</v>
      </c>
    </row>
    <row r="585" spans="1:3" x14ac:dyDescent="0.2">
      <c r="A585" s="9">
        <v>583</v>
      </c>
      <c r="B585" s="9">
        <f t="shared" ca="1" si="9"/>
        <v>0.64946570193610997</v>
      </c>
      <c r="C585" s="9" t="s">
        <v>22</v>
      </c>
    </row>
    <row r="586" spans="1:3" x14ac:dyDescent="0.2">
      <c r="A586" s="9">
        <v>584</v>
      </c>
      <c r="B586" s="9">
        <f t="shared" ca="1" si="9"/>
        <v>0.63833531506412999</v>
      </c>
      <c r="C586" s="9" t="s">
        <v>21</v>
      </c>
    </row>
    <row r="587" spans="1:3" x14ac:dyDescent="0.2">
      <c r="A587" s="9">
        <v>585</v>
      </c>
      <c r="B587" s="9">
        <f t="shared" ca="1" si="9"/>
        <v>0.63078557580883754</v>
      </c>
      <c r="C587" s="9" t="s">
        <v>22</v>
      </c>
    </row>
    <row r="588" spans="1:3" x14ac:dyDescent="0.2">
      <c r="A588" s="9">
        <v>586</v>
      </c>
      <c r="B588" s="9">
        <f t="shared" ca="1" si="9"/>
        <v>0.56462627313097002</v>
      </c>
      <c r="C588" s="9" t="s">
        <v>22</v>
      </c>
    </row>
    <row r="589" spans="1:3" x14ac:dyDescent="0.2">
      <c r="A589" s="9">
        <v>587</v>
      </c>
      <c r="B589" s="9">
        <f t="shared" ca="1" si="9"/>
        <v>0.80418892932690333</v>
      </c>
      <c r="C589" s="9" t="s">
        <v>21</v>
      </c>
    </row>
    <row r="590" spans="1:3" x14ac:dyDescent="0.2">
      <c r="A590" s="9">
        <v>588</v>
      </c>
      <c r="B590" s="9">
        <f t="shared" ca="1" si="9"/>
        <v>0.52104791347030266</v>
      </c>
      <c r="C590" s="9" t="s">
        <v>22</v>
      </c>
    </row>
    <row r="591" spans="1:3" x14ac:dyDescent="0.2">
      <c r="A591" s="9">
        <v>589</v>
      </c>
      <c r="B591" s="9">
        <f t="shared" ca="1" si="9"/>
        <v>0.60397369420610203</v>
      </c>
      <c r="C591" s="9" t="s">
        <v>22</v>
      </c>
    </row>
    <row r="592" spans="1:3" x14ac:dyDescent="0.2">
      <c r="A592" s="9">
        <v>590</v>
      </c>
      <c r="B592" s="9">
        <f t="shared" ca="1" si="9"/>
        <v>0.72323607757053276</v>
      </c>
      <c r="C592" s="9" t="s">
        <v>21</v>
      </c>
    </row>
    <row r="593" spans="1:3" x14ac:dyDescent="0.2">
      <c r="A593" s="9">
        <v>591</v>
      </c>
      <c r="B593" s="9">
        <f t="shared" ca="1" si="9"/>
        <v>0.6683883498634493</v>
      </c>
      <c r="C593" s="9" t="s">
        <v>22</v>
      </c>
    </row>
    <row r="594" spans="1:3" x14ac:dyDescent="0.2">
      <c r="A594" s="9">
        <v>592</v>
      </c>
      <c r="B594" s="9">
        <f t="shared" ca="1" si="9"/>
        <v>0.68321243267857856</v>
      </c>
      <c r="C594" s="9" t="s">
        <v>21</v>
      </c>
    </row>
    <row r="595" spans="1:3" x14ac:dyDescent="0.2">
      <c r="A595" s="9">
        <v>593</v>
      </c>
      <c r="B595" s="9">
        <f t="shared" ca="1" si="9"/>
        <v>0.56810103978389603</v>
      </c>
      <c r="C595" s="9" t="s">
        <v>22</v>
      </c>
    </row>
    <row r="596" spans="1:3" x14ac:dyDescent="0.2">
      <c r="A596" s="9">
        <v>594</v>
      </c>
      <c r="B596" s="9">
        <f t="shared" ca="1" si="9"/>
        <v>0.61603239931820075</v>
      </c>
      <c r="C596" s="9" t="s">
        <v>21</v>
      </c>
    </row>
    <row r="597" spans="1:3" x14ac:dyDescent="0.2">
      <c r="A597" s="9">
        <v>595</v>
      </c>
      <c r="B597" s="9">
        <f t="shared" ca="1" si="9"/>
        <v>0.71087715589082467</v>
      </c>
      <c r="C597" s="9" t="s">
        <v>21</v>
      </c>
    </row>
    <row r="598" spans="1:3" x14ac:dyDescent="0.2">
      <c r="A598" s="9">
        <v>596</v>
      </c>
      <c r="B598" s="9">
        <f t="shared" ca="1" si="9"/>
        <v>0.65751666301447365</v>
      </c>
      <c r="C598" s="9" t="s">
        <v>21</v>
      </c>
    </row>
    <row r="599" spans="1:3" x14ac:dyDescent="0.2">
      <c r="A599" s="9">
        <v>597</v>
      </c>
      <c r="B599" s="9">
        <f t="shared" ca="1" si="9"/>
        <v>0.691397295628572</v>
      </c>
      <c r="C599" s="9" t="s">
        <v>21</v>
      </c>
    </row>
    <row r="600" spans="1:3" x14ac:dyDescent="0.2">
      <c r="A600" s="9">
        <v>598</v>
      </c>
      <c r="B600" s="9">
        <f t="shared" ca="1" si="9"/>
        <v>0.78873546876400247</v>
      </c>
      <c r="C600" s="9" t="s">
        <v>22</v>
      </c>
    </row>
    <row r="601" spans="1:3" x14ac:dyDescent="0.2">
      <c r="A601" s="9">
        <v>599</v>
      </c>
      <c r="B601" s="9">
        <f t="shared" ca="1" si="9"/>
        <v>0.67365306780734302</v>
      </c>
      <c r="C601" s="9" t="s">
        <v>21</v>
      </c>
    </row>
    <row r="602" spans="1:3" x14ac:dyDescent="0.2">
      <c r="A602" s="9">
        <v>600</v>
      </c>
      <c r="B602" s="9">
        <f t="shared" ca="1" si="9"/>
        <v>0.60185316476921735</v>
      </c>
      <c r="C602" s="9" t="s">
        <v>21</v>
      </c>
    </row>
    <row r="603" spans="1:3" x14ac:dyDescent="0.2">
      <c r="A603" s="9">
        <v>601</v>
      </c>
      <c r="B603" s="9">
        <f t="shared" ca="1" si="9"/>
        <v>0.99886190034374278</v>
      </c>
      <c r="C603" s="9" t="s">
        <v>22</v>
      </c>
    </row>
    <row r="604" spans="1:3" x14ac:dyDescent="0.2">
      <c r="A604" s="9">
        <v>602</v>
      </c>
      <c r="B604" s="9">
        <f t="shared" ca="1" si="9"/>
        <v>0.75551041065992108</v>
      </c>
      <c r="C604" s="9" t="s">
        <v>22</v>
      </c>
    </row>
    <row r="605" spans="1:3" x14ac:dyDescent="0.2">
      <c r="A605" s="9">
        <v>603</v>
      </c>
      <c r="B605" s="9">
        <f t="shared" ca="1" si="9"/>
        <v>0.58130570046601293</v>
      </c>
      <c r="C605" s="9" t="s">
        <v>22</v>
      </c>
    </row>
    <row r="606" spans="1:3" x14ac:dyDescent="0.2">
      <c r="A606" s="9">
        <v>604</v>
      </c>
      <c r="B606" s="9">
        <f t="shared" ca="1" si="9"/>
        <v>0.64513903582568444</v>
      </c>
      <c r="C606" s="9" t="s">
        <v>21</v>
      </c>
    </row>
    <row r="607" spans="1:3" x14ac:dyDescent="0.2">
      <c r="A607" s="9">
        <v>605</v>
      </c>
      <c r="B607" s="9">
        <f t="shared" ca="1" si="9"/>
        <v>0.60195220582656472</v>
      </c>
      <c r="C607" s="9" t="s">
        <v>22</v>
      </c>
    </row>
    <row r="608" spans="1:3" x14ac:dyDescent="0.2">
      <c r="A608" s="9">
        <v>606</v>
      </c>
      <c r="B608" s="9">
        <f t="shared" ca="1" si="9"/>
        <v>0.70075232118702369</v>
      </c>
      <c r="C608" s="9" t="s">
        <v>21</v>
      </c>
    </row>
    <row r="609" spans="1:3" x14ac:dyDescent="0.2">
      <c r="A609" s="9">
        <v>607</v>
      </c>
      <c r="B609" s="9">
        <f t="shared" ca="1" si="9"/>
        <v>0.70413652970711216</v>
      </c>
      <c r="C609" s="9" t="s">
        <v>22</v>
      </c>
    </row>
    <row r="610" spans="1:3" x14ac:dyDescent="0.2">
      <c r="A610" s="9">
        <v>608</v>
      </c>
      <c r="B610" s="9">
        <f t="shared" ca="1" si="9"/>
        <v>0.59852313738656937</v>
      </c>
      <c r="C610" s="9" t="s">
        <v>21</v>
      </c>
    </row>
    <row r="611" spans="1:3" x14ac:dyDescent="0.2">
      <c r="A611" s="9">
        <v>609</v>
      </c>
      <c r="B611" s="9">
        <f t="shared" ca="1" si="9"/>
        <v>0.51993736792727585</v>
      </c>
      <c r="C611" s="9" t="s">
        <v>22</v>
      </c>
    </row>
    <row r="612" spans="1:3" x14ac:dyDescent="0.2">
      <c r="A612" s="9">
        <v>610</v>
      </c>
      <c r="B612" s="9">
        <f t="shared" ca="1" si="9"/>
        <v>0.81759316985683095</v>
      </c>
      <c r="C612" s="9" t="s">
        <v>22</v>
      </c>
    </row>
    <row r="613" spans="1:3" x14ac:dyDescent="0.2">
      <c r="A613" s="9">
        <v>611</v>
      </c>
      <c r="B613" s="9">
        <f t="shared" ca="1" si="9"/>
        <v>0.6952278232088035</v>
      </c>
      <c r="C613" s="9" t="s">
        <v>21</v>
      </c>
    </row>
    <row r="614" spans="1:3" x14ac:dyDescent="0.2">
      <c r="A614" s="9">
        <v>612</v>
      </c>
      <c r="B614" s="9">
        <f t="shared" ca="1" si="9"/>
        <v>0.80516763530266477</v>
      </c>
      <c r="C614" s="9" t="s">
        <v>21</v>
      </c>
    </row>
    <row r="615" spans="1:3" x14ac:dyDescent="0.2">
      <c r="A615" s="9">
        <v>613</v>
      </c>
      <c r="B615" s="9">
        <f t="shared" ca="1" si="9"/>
        <v>0.98708703534000897</v>
      </c>
      <c r="C615" s="9" t="s">
        <v>22</v>
      </c>
    </row>
    <row r="616" spans="1:3" x14ac:dyDescent="0.2">
      <c r="A616" s="9">
        <v>614</v>
      </c>
      <c r="B616" s="9">
        <f t="shared" ca="1" si="9"/>
        <v>0.68816036954209603</v>
      </c>
      <c r="C616" s="9" t="s">
        <v>22</v>
      </c>
    </row>
    <row r="617" spans="1:3" x14ac:dyDescent="0.2">
      <c r="A617" s="9">
        <v>615</v>
      </c>
      <c r="B617" s="9">
        <f t="shared" ca="1" si="9"/>
        <v>0.62378428266315056</v>
      </c>
      <c r="C617" s="9" t="s">
        <v>22</v>
      </c>
    </row>
    <row r="618" spans="1:3" x14ac:dyDescent="0.2">
      <c r="A618" s="9">
        <v>616</v>
      </c>
      <c r="B618" s="9">
        <f t="shared" ca="1" si="9"/>
        <v>0.67063086779572545</v>
      </c>
      <c r="C618" s="9" t="s">
        <v>21</v>
      </c>
    </row>
    <row r="619" spans="1:3" x14ac:dyDescent="0.2">
      <c r="A619" s="9">
        <v>617</v>
      </c>
      <c r="B619" s="9">
        <f t="shared" ca="1" si="9"/>
        <v>0.56503950689633786</v>
      </c>
      <c r="C619" s="9" t="s">
        <v>21</v>
      </c>
    </row>
    <row r="620" spans="1:3" x14ac:dyDescent="0.2">
      <c r="A620" s="9">
        <v>618</v>
      </c>
      <c r="B620" s="9">
        <f t="shared" ca="1" si="9"/>
        <v>0.7005960885574245</v>
      </c>
      <c r="C620" s="9" t="s">
        <v>21</v>
      </c>
    </row>
    <row r="621" spans="1:3" x14ac:dyDescent="0.2">
      <c r="A621" s="9">
        <v>619</v>
      </c>
      <c r="B621" s="9">
        <f t="shared" ca="1" si="9"/>
        <v>0.59027493605021941</v>
      </c>
      <c r="C621" s="9" t="s">
        <v>22</v>
      </c>
    </row>
    <row r="622" spans="1:3" x14ac:dyDescent="0.2">
      <c r="A622" s="9">
        <v>620</v>
      </c>
      <c r="B622" s="9">
        <f t="shared" ca="1" si="9"/>
        <v>0.30591070440936091</v>
      </c>
      <c r="C622" s="9" t="s">
        <v>22</v>
      </c>
    </row>
    <row r="623" spans="1:3" x14ac:dyDescent="0.2">
      <c r="A623" s="9">
        <v>621</v>
      </c>
      <c r="B623" s="9">
        <f t="shared" ca="1" si="9"/>
        <v>0.67425939196724982</v>
      </c>
      <c r="C623" s="9" t="s">
        <v>21</v>
      </c>
    </row>
    <row r="624" spans="1:3" x14ac:dyDescent="0.2">
      <c r="A624" s="9">
        <v>622</v>
      </c>
      <c r="B624" s="9">
        <f t="shared" ca="1" si="9"/>
        <v>0.70556654269832464</v>
      </c>
      <c r="C624" s="9" t="s">
        <v>21</v>
      </c>
    </row>
    <row r="625" spans="1:3" x14ac:dyDescent="0.2">
      <c r="A625" s="9">
        <v>623</v>
      </c>
      <c r="B625" s="9">
        <f t="shared" ca="1" si="9"/>
        <v>0.64480557847888365</v>
      </c>
      <c r="C625" s="9" t="s">
        <v>21</v>
      </c>
    </row>
    <row r="626" spans="1:3" x14ac:dyDescent="0.2">
      <c r="A626" s="9">
        <v>624</v>
      </c>
      <c r="B626" s="9">
        <f t="shared" ca="1" si="9"/>
        <v>0.596454526238132</v>
      </c>
      <c r="C626" s="9" t="s">
        <v>22</v>
      </c>
    </row>
    <row r="627" spans="1:3" x14ac:dyDescent="0.2">
      <c r="A627" s="9">
        <v>625</v>
      </c>
      <c r="B627" s="9">
        <f t="shared" ca="1" si="9"/>
        <v>0.71269661956627872</v>
      </c>
      <c r="C627" s="9" t="s">
        <v>21</v>
      </c>
    </row>
    <row r="628" spans="1:3" x14ac:dyDescent="0.2">
      <c r="A628" s="9">
        <v>626</v>
      </c>
      <c r="B628" s="9">
        <f t="shared" ca="1" si="9"/>
        <v>0.66067691526822525</v>
      </c>
      <c r="C628" s="9" t="s">
        <v>22</v>
      </c>
    </row>
    <row r="629" spans="1:3" x14ac:dyDescent="0.2">
      <c r="A629" s="9">
        <v>627</v>
      </c>
      <c r="B629" s="9">
        <f t="shared" ca="1" si="9"/>
        <v>0.69689259055279118</v>
      </c>
      <c r="C629" s="9" t="s">
        <v>22</v>
      </c>
    </row>
    <row r="630" spans="1:3" x14ac:dyDescent="0.2">
      <c r="A630" s="9">
        <v>628</v>
      </c>
      <c r="B630" s="9">
        <f t="shared" ca="1" si="9"/>
        <v>0.55284295579957976</v>
      </c>
      <c r="C630" s="9" t="s">
        <v>22</v>
      </c>
    </row>
    <row r="631" spans="1:3" x14ac:dyDescent="0.2">
      <c r="A631" s="9">
        <v>629</v>
      </c>
      <c r="B631" s="9">
        <f t="shared" ca="1" si="9"/>
        <v>0.56136661870686044</v>
      </c>
      <c r="C631" s="9" t="s">
        <v>22</v>
      </c>
    </row>
    <row r="632" spans="1:3" x14ac:dyDescent="0.2">
      <c r="A632" s="9">
        <v>630</v>
      </c>
      <c r="B632" s="9">
        <f t="shared" ca="1" si="9"/>
        <v>0.64678265501729637</v>
      </c>
      <c r="C632" s="9" t="s">
        <v>21</v>
      </c>
    </row>
    <row r="633" spans="1:3" x14ac:dyDescent="0.2">
      <c r="A633" s="9">
        <v>631</v>
      </c>
      <c r="B633" s="9">
        <f t="shared" ca="1" si="9"/>
        <v>0.78295479612251495</v>
      </c>
      <c r="C633" s="9" t="s">
        <v>21</v>
      </c>
    </row>
    <row r="634" spans="1:3" x14ac:dyDescent="0.2">
      <c r="A634" s="9">
        <v>632</v>
      </c>
      <c r="B634" s="9">
        <f t="shared" ca="1" si="9"/>
        <v>0.8826901590400591</v>
      </c>
      <c r="C634" s="9" t="s">
        <v>22</v>
      </c>
    </row>
    <row r="635" spans="1:3" x14ac:dyDescent="0.2">
      <c r="A635" s="9">
        <v>633</v>
      </c>
      <c r="B635" s="9">
        <f t="shared" ca="1" si="9"/>
        <v>0.77540327149047483</v>
      </c>
      <c r="C635" s="9" t="s">
        <v>21</v>
      </c>
    </row>
    <row r="636" spans="1:3" x14ac:dyDescent="0.2">
      <c r="A636" s="9">
        <v>634</v>
      </c>
      <c r="B636" s="9">
        <f t="shared" ca="1" si="9"/>
        <v>0.83982679601408783</v>
      </c>
      <c r="C636" s="9" t="s">
        <v>21</v>
      </c>
    </row>
    <row r="637" spans="1:3" x14ac:dyDescent="0.2">
      <c r="A637" s="9">
        <v>635</v>
      </c>
      <c r="B637" s="9">
        <f t="shared" ca="1" si="9"/>
        <v>0.67516630300335378</v>
      </c>
      <c r="C637" s="9" t="s">
        <v>21</v>
      </c>
    </row>
    <row r="638" spans="1:3" x14ac:dyDescent="0.2">
      <c r="A638" s="9">
        <v>636</v>
      </c>
      <c r="B638" s="9">
        <f t="shared" ca="1" si="9"/>
        <v>0.82029913067459714</v>
      </c>
      <c r="C638" s="9" t="s">
        <v>22</v>
      </c>
    </row>
    <row r="639" spans="1:3" x14ac:dyDescent="0.2">
      <c r="A639" s="9">
        <v>637</v>
      </c>
      <c r="B639" s="9">
        <f t="shared" ca="1" si="9"/>
        <v>0.46949707262878715</v>
      </c>
      <c r="C639" s="9" t="s">
        <v>22</v>
      </c>
    </row>
    <row r="640" spans="1:3" x14ac:dyDescent="0.2">
      <c r="A640" s="9">
        <v>638</v>
      </c>
      <c r="B640" s="9">
        <f t="shared" ca="1" si="9"/>
        <v>0.66807081298664417</v>
      </c>
      <c r="C640" s="9" t="s">
        <v>21</v>
      </c>
    </row>
    <row r="641" spans="1:3" x14ac:dyDescent="0.2">
      <c r="A641" s="9">
        <v>639</v>
      </c>
      <c r="B641" s="9">
        <f t="shared" ca="1" si="9"/>
        <v>0.63231052293688295</v>
      </c>
      <c r="C641" s="9" t="s">
        <v>22</v>
      </c>
    </row>
    <row r="642" spans="1:3" x14ac:dyDescent="0.2">
      <c r="A642" s="9">
        <v>640</v>
      </c>
      <c r="B642" s="9">
        <f t="shared" ca="1" si="9"/>
        <v>0.57679198273655696</v>
      </c>
      <c r="C642" s="9" t="s">
        <v>21</v>
      </c>
    </row>
    <row r="643" spans="1:3" x14ac:dyDescent="0.2">
      <c r="A643" s="9">
        <v>641</v>
      </c>
      <c r="B643" s="9">
        <f t="shared" ca="1" si="9"/>
        <v>0.56093503565658753</v>
      </c>
      <c r="C643" s="9" t="s">
        <v>21</v>
      </c>
    </row>
    <row r="644" spans="1:3" x14ac:dyDescent="0.2">
      <c r="A644" s="9">
        <v>642</v>
      </c>
      <c r="B644" s="9">
        <f t="shared" ref="B644:B707" ca="1" si="10">IF(C644="Bomb",_xlfn.NORM.INV(RAND(),0.7,0.1),_xlfn.NORM.INV(RAND(),0.6,0.15))</f>
        <v>0.78194720133475637</v>
      </c>
      <c r="C644" s="9" t="s">
        <v>22</v>
      </c>
    </row>
    <row r="645" spans="1:3" x14ac:dyDescent="0.2">
      <c r="A645" s="9">
        <v>643</v>
      </c>
      <c r="B645" s="9">
        <f t="shared" ca="1" si="10"/>
        <v>0.66816173028735193</v>
      </c>
      <c r="C645" s="9" t="s">
        <v>21</v>
      </c>
    </row>
    <row r="646" spans="1:3" x14ac:dyDescent="0.2">
      <c r="A646" s="9">
        <v>644</v>
      </c>
      <c r="B646" s="9">
        <f t="shared" ca="1" si="10"/>
        <v>0.31989230873814384</v>
      </c>
      <c r="C646" s="9" t="s">
        <v>22</v>
      </c>
    </row>
    <row r="647" spans="1:3" x14ac:dyDescent="0.2">
      <c r="A647" s="9">
        <v>645</v>
      </c>
      <c r="B647" s="9">
        <f t="shared" ca="1" si="10"/>
        <v>0.23798560691749154</v>
      </c>
      <c r="C647" s="9" t="s">
        <v>22</v>
      </c>
    </row>
    <row r="648" spans="1:3" x14ac:dyDescent="0.2">
      <c r="A648" s="9">
        <v>646</v>
      </c>
      <c r="B648" s="9">
        <f t="shared" ca="1" si="10"/>
        <v>0.36547858646319964</v>
      </c>
      <c r="C648" s="9" t="s">
        <v>22</v>
      </c>
    </row>
    <row r="649" spans="1:3" x14ac:dyDescent="0.2">
      <c r="A649" s="9">
        <v>647</v>
      </c>
      <c r="B649" s="9">
        <f t="shared" ca="1" si="10"/>
        <v>0.63270714921897275</v>
      </c>
      <c r="C649" s="9" t="s">
        <v>21</v>
      </c>
    </row>
    <row r="650" spans="1:3" x14ac:dyDescent="0.2">
      <c r="A650" s="9">
        <v>648</v>
      </c>
      <c r="B650" s="9">
        <f t="shared" ca="1" si="10"/>
        <v>0.69217786900902945</v>
      </c>
      <c r="C650" s="9" t="s">
        <v>21</v>
      </c>
    </row>
    <row r="651" spans="1:3" x14ac:dyDescent="0.2">
      <c r="A651" s="9">
        <v>649</v>
      </c>
      <c r="B651" s="9">
        <f t="shared" ca="1" si="10"/>
        <v>0.67451334774091631</v>
      </c>
      <c r="C651" s="9" t="s">
        <v>21</v>
      </c>
    </row>
    <row r="652" spans="1:3" x14ac:dyDescent="0.2">
      <c r="A652" s="9">
        <v>650</v>
      </c>
      <c r="B652" s="9">
        <f t="shared" ca="1" si="10"/>
        <v>0.58611105111509132</v>
      </c>
      <c r="C652" s="9" t="s">
        <v>21</v>
      </c>
    </row>
    <row r="653" spans="1:3" x14ac:dyDescent="0.2">
      <c r="A653" s="9">
        <v>651</v>
      </c>
      <c r="B653" s="9">
        <f t="shared" ca="1" si="10"/>
        <v>0.59756041894767387</v>
      </c>
      <c r="C653" s="9" t="s">
        <v>22</v>
      </c>
    </row>
    <row r="654" spans="1:3" x14ac:dyDescent="0.2">
      <c r="A654" s="9">
        <v>652</v>
      </c>
      <c r="B654" s="9">
        <f t="shared" ca="1" si="10"/>
        <v>0.47540612231541701</v>
      </c>
      <c r="C654" s="9" t="s">
        <v>22</v>
      </c>
    </row>
    <row r="655" spans="1:3" x14ac:dyDescent="0.2">
      <c r="A655" s="9">
        <v>653</v>
      </c>
      <c r="B655" s="9">
        <f t="shared" ca="1" si="10"/>
        <v>0.72133511581171772</v>
      </c>
      <c r="C655" s="9" t="s">
        <v>22</v>
      </c>
    </row>
    <row r="656" spans="1:3" x14ac:dyDescent="0.2">
      <c r="A656" s="9">
        <v>654</v>
      </c>
      <c r="B656" s="9">
        <f t="shared" ca="1" si="10"/>
        <v>0.71013407743870882</v>
      </c>
      <c r="C656" s="9" t="s">
        <v>22</v>
      </c>
    </row>
    <row r="657" spans="1:3" x14ac:dyDescent="0.2">
      <c r="A657" s="9">
        <v>655</v>
      </c>
      <c r="B657" s="9">
        <f t="shared" ca="1" si="10"/>
        <v>0.36909346938854909</v>
      </c>
      <c r="C657" s="9" t="s">
        <v>22</v>
      </c>
    </row>
    <row r="658" spans="1:3" x14ac:dyDescent="0.2">
      <c r="A658" s="9">
        <v>656</v>
      </c>
      <c r="B658" s="9">
        <f t="shared" ca="1" si="10"/>
        <v>0.57592412157824624</v>
      </c>
      <c r="C658" s="9" t="s">
        <v>22</v>
      </c>
    </row>
    <row r="659" spans="1:3" x14ac:dyDescent="0.2">
      <c r="A659" s="9">
        <v>657</v>
      </c>
      <c r="B659" s="9">
        <f t="shared" ca="1" si="10"/>
        <v>0.77498907413221119</v>
      </c>
      <c r="C659" s="9" t="s">
        <v>21</v>
      </c>
    </row>
    <row r="660" spans="1:3" x14ac:dyDescent="0.2">
      <c r="A660" s="9">
        <v>658</v>
      </c>
      <c r="B660" s="9">
        <f t="shared" ca="1" si="10"/>
        <v>0.65973611461383441</v>
      </c>
      <c r="C660" s="9" t="s">
        <v>22</v>
      </c>
    </row>
    <row r="661" spans="1:3" x14ac:dyDescent="0.2">
      <c r="A661" s="9">
        <v>659</v>
      </c>
      <c r="B661" s="9">
        <f t="shared" ca="1" si="10"/>
        <v>0.65138639042860325</v>
      </c>
      <c r="C661" s="9" t="s">
        <v>21</v>
      </c>
    </row>
    <row r="662" spans="1:3" x14ac:dyDescent="0.2">
      <c r="A662" s="9">
        <v>660</v>
      </c>
      <c r="B662" s="9">
        <f t="shared" ca="1" si="10"/>
        <v>0.78013661626440145</v>
      </c>
      <c r="C662" s="9" t="s">
        <v>22</v>
      </c>
    </row>
    <row r="663" spans="1:3" x14ac:dyDescent="0.2">
      <c r="A663" s="9">
        <v>661</v>
      </c>
      <c r="B663" s="9">
        <f t="shared" ca="1" si="10"/>
        <v>0.65411641162227219</v>
      </c>
      <c r="C663" s="9" t="s">
        <v>21</v>
      </c>
    </row>
    <row r="664" spans="1:3" x14ac:dyDescent="0.2">
      <c r="A664" s="9">
        <v>662</v>
      </c>
      <c r="B664" s="9">
        <f t="shared" ca="1" si="10"/>
        <v>0.97913557362168169</v>
      </c>
      <c r="C664" s="9" t="s">
        <v>22</v>
      </c>
    </row>
    <row r="665" spans="1:3" x14ac:dyDescent="0.2">
      <c r="A665" s="9">
        <v>663</v>
      </c>
      <c r="B665" s="9">
        <f t="shared" ca="1" si="10"/>
        <v>0.77419056095670813</v>
      </c>
      <c r="C665" s="9" t="s">
        <v>22</v>
      </c>
    </row>
    <row r="666" spans="1:3" x14ac:dyDescent="0.2">
      <c r="A666" s="9">
        <v>664</v>
      </c>
      <c r="B666" s="9">
        <f t="shared" ca="1" si="10"/>
        <v>0.7937935946011474</v>
      </c>
      <c r="C666" s="9" t="s">
        <v>21</v>
      </c>
    </row>
    <row r="667" spans="1:3" x14ac:dyDescent="0.2">
      <c r="A667" s="9">
        <v>665</v>
      </c>
      <c r="B667" s="9">
        <f t="shared" ca="1" si="10"/>
        <v>0.54460287782641603</v>
      </c>
      <c r="C667" s="9" t="s">
        <v>22</v>
      </c>
    </row>
    <row r="668" spans="1:3" x14ac:dyDescent="0.2">
      <c r="A668" s="9">
        <v>666</v>
      </c>
      <c r="B668" s="9">
        <f t="shared" ca="1" si="10"/>
        <v>0.60391343021337895</v>
      </c>
      <c r="C668" s="9" t="s">
        <v>22</v>
      </c>
    </row>
    <row r="669" spans="1:3" x14ac:dyDescent="0.2">
      <c r="A669" s="9">
        <v>667</v>
      </c>
      <c r="B669" s="9">
        <f t="shared" ca="1" si="10"/>
        <v>0.83508242402834199</v>
      </c>
      <c r="C669" s="9" t="s">
        <v>21</v>
      </c>
    </row>
    <row r="670" spans="1:3" x14ac:dyDescent="0.2">
      <c r="A670" s="9">
        <v>668</v>
      </c>
      <c r="B670" s="9">
        <f t="shared" ca="1" si="10"/>
        <v>0.5533554729727137</v>
      </c>
      <c r="C670" s="9" t="s">
        <v>22</v>
      </c>
    </row>
    <row r="671" spans="1:3" x14ac:dyDescent="0.2">
      <c r="A671" s="9">
        <v>669</v>
      </c>
      <c r="B671" s="9">
        <f t="shared" ca="1" si="10"/>
        <v>0.4935473296548562</v>
      </c>
      <c r="C671" s="9" t="s">
        <v>22</v>
      </c>
    </row>
    <row r="672" spans="1:3" x14ac:dyDescent="0.2">
      <c r="A672" s="9">
        <v>670</v>
      </c>
      <c r="B672" s="9">
        <f t="shared" ca="1" si="10"/>
        <v>0.61459110603117817</v>
      </c>
      <c r="C672" s="9" t="s">
        <v>22</v>
      </c>
    </row>
    <row r="673" spans="1:3" x14ac:dyDescent="0.2">
      <c r="A673" s="9">
        <v>671</v>
      </c>
      <c r="B673" s="9">
        <f t="shared" ca="1" si="10"/>
        <v>0.5179457290451096</v>
      </c>
      <c r="C673" s="9" t="s">
        <v>22</v>
      </c>
    </row>
    <row r="674" spans="1:3" x14ac:dyDescent="0.2">
      <c r="A674" s="9">
        <v>672</v>
      </c>
      <c r="B674" s="9">
        <f t="shared" ca="1" si="10"/>
        <v>0.7007952976141919</v>
      </c>
      <c r="C674" s="9" t="s">
        <v>22</v>
      </c>
    </row>
    <row r="675" spans="1:3" x14ac:dyDescent="0.2">
      <c r="A675" s="9">
        <v>673</v>
      </c>
      <c r="B675" s="9">
        <f t="shared" ca="1" si="10"/>
        <v>0.63546818999017729</v>
      </c>
      <c r="C675" s="9" t="s">
        <v>22</v>
      </c>
    </row>
    <row r="676" spans="1:3" x14ac:dyDescent="0.2">
      <c r="A676" s="9">
        <v>674</v>
      </c>
      <c r="B676" s="9">
        <f t="shared" ca="1" si="10"/>
        <v>0.71424903243660098</v>
      </c>
      <c r="C676" s="9" t="s">
        <v>21</v>
      </c>
    </row>
    <row r="677" spans="1:3" x14ac:dyDescent="0.2">
      <c r="A677" s="9">
        <v>675</v>
      </c>
      <c r="B677" s="9">
        <f t="shared" ca="1" si="10"/>
        <v>0.72751682941606244</v>
      </c>
      <c r="C677" s="9" t="s">
        <v>22</v>
      </c>
    </row>
    <row r="678" spans="1:3" x14ac:dyDescent="0.2">
      <c r="A678" s="9">
        <v>676</v>
      </c>
      <c r="B678" s="9">
        <f t="shared" ca="1" si="10"/>
        <v>0.74143077815997571</v>
      </c>
      <c r="C678" s="9" t="s">
        <v>21</v>
      </c>
    </row>
    <row r="679" spans="1:3" x14ac:dyDescent="0.2">
      <c r="A679" s="9">
        <v>677</v>
      </c>
      <c r="B679" s="9">
        <f t="shared" ca="1" si="10"/>
        <v>0.66909657949376433</v>
      </c>
      <c r="C679" s="9" t="s">
        <v>22</v>
      </c>
    </row>
    <row r="680" spans="1:3" x14ac:dyDescent="0.2">
      <c r="A680" s="9">
        <v>678</v>
      </c>
      <c r="B680" s="9">
        <f t="shared" ca="1" si="10"/>
        <v>0.72448891850616937</v>
      </c>
      <c r="C680" s="9" t="s">
        <v>21</v>
      </c>
    </row>
    <row r="681" spans="1:3" x14ac:dyDescent="0.2">
      <c r="A681" s="9">
        <v>679</v>
      </c>
      <c r="B681" s="9">
        <f t="shared" ca="1" si="10"/>
        <v>0.60833088641844923</v>
      </c>
      <c r="C681" s="9" t="s">
        <v>22</v>
      </c>
    </row>
    <row r="682" spans="1:3" x14ac:dyDescent="0.2">
      <c r="A682" s="9">
        <v>680</v>
      </c>
      <c r="B682" s="9">
        <f t="shared" ca="1" si="10"/>
        <v>0.6290588452734226</v>
      </c>
      <c r="C682" s="9" t="s">
        <v>22</v>
      </c>
    </row>
    <row r="683" spans="1:3" x14ac:dyDescent="0.2">
      <c r="A683" s="9">
        <v>681</v>
      </c>
      <c r="B683" s="9">
        <f t="shared" ca="1" si="10"/>
        <v>0.2814699054588235</v>
      </c>
      <c r="C683" s="9" t="s">
        <v>22</v>
      </c>
    </row>
    <row r="684" spans="1:3" x14ac:dyDescent="0.2">
      <c r="A684" s="9">
        <v>682</v>
      </c>
      <c r="B684" s="9">
        <f t="shared" ca="1" si="10"/>
        <v>0.78213883858929489</v>
      </c>
      <c r="C684" s="9" t="s">
        <v>22</v>
      </c>
    </row>
    <row r="685" spans="1:3" x14ac:dyDescent="0.2">
      <c r="A685" s="9">
        <v>683</v>
      </c>
      <c r="B685" s="9">
        <f t="shared" ca="1" si="10"/>
        <v>0.39567343980257152</v>
      </c>
      <c r="C685" s="9" t="s">
        <v>22</v>
      </c>
    </row>
    <row r="686" spans="1:3" x14ac:dyDescent="0.2">
      <c r="A686" s="9">
        <v>684</v>
      </c>
      <c r="B686" s="9">
        <f t="shared" ca="1" si="10"/>
        <v>0.89004281509917949</v>
      </c>
      <c r="C686" s="9" t="s">
        <v>22</v>
      </c>
    </row>
    <row r="687" spans="1:3" x14ac:dyDescent="0.2">
      <c r="A687" s="9">
        <v>685</v>
      </c>
      <c r="B687" s="9">
        <f t="shared" ca="1" si="10"/>
        <v>0.64381653013683349</v>
      </c>
      <c r="C687" s="9" t="s">
        <v>21</v>
      </c>
    </row>
    <row r="688" spans="1:3" x14ac:dyDescent="0.2">
      <c r="A688" s="9">
        <v>686</v>
      </c>
      <c r="B688" s="9">
        <f t="shared" ca="1" si="10"/>
        <v>0.31430078713896564</v>
      </c>
      <c r="C688" s="9" t="s">
        <v>22</v>
      </c>
    </row>
    <row r="689" spans="1:3" x14ac:dyDescent="0.2">
      <c r="A689" s="9">
        <v>687</v>
      </c>
      <c r="B689" s="9">
        <f t="shared" ca="1" si="10"/>
        <v>0.91899870910647485</v>
      </c>
      <c r="C689" s="9" t="s">
        <v>22</v>
      </c>
    </row>
    <row r="690" spans="1:3" x14ac:dyDescent="0.2">
      <c r="A690" s="9">
        <v>688</v>
      </c>
      <c r="B690" s="9">
        <f t="shared" ca="1" si="10"/>
        <v>0.4958934362368011</v>
      </c>
      <c r="C690" s="9" t="s">
        <v>22</v>
      </c>
    </row>
    <row r="691" spans="1:3" x14ac:dyDescent="0.2">
      <c r="A691" s="9">
        <v>689</v>
      </c>
      <c r="B691" s="9">
        <f t="shared" ca="1" si="10"/>
        <v>0.74429878325699705</v>
      </c>
      <c r="C691" s="9" t="s">
        <v>22</v>
      </c>
    </row>
    <row r="692" spans="1:3" x14ac:dyDescent="0.2">
      <c r="A692" s="9">
        <v>690</v>
      </c>
      <c r="B692" s="9">
        <f t="shared" ca="1" si="10"/>
        <v>0.75451273785848261</v>
      </c>
      <c r="C692" s="9" t="s">
        <v>21</v>
      </c>
    </row>
    <row r="693" spans="1:3" x14ac:dyDescent="0.2">
      <c r="A693" s="9">
        <v>691</v>
      </c>
      <c r="B693" s="9">
        <f t="shared" ca="1" si="10"/>
        <v>0.59751768338479683</v>
      </c>
      <c r="C693" s="9" t="s">
        <v>21</v>
      </c>
    </row>
    <row r="694" spans="1:3" x14ac:dyDescent="0.2">
      <c r="A694" s="9">
        <v>692</v>
      </c>
      <c r="B694" s="9">
        <f t="shared" ca="1" si="10"/>
        <v>0.77869952211150406</v>
      </c>
      <c r="C694" s="9" t="s">
        <v>21</v>
      </c>
    </row>
    <row r="695" spans="1:3" x14ac:dyDescent="0.2">
      <c r="A695" s="9">
        <v>693</v>
      </c>
      <c r="B695" s="9">
        <f t="shared" ca="1" si="10"/>
        <v>0.75223906365045146</v>
      </c>
      <c r="C695" s="9" t="s">
        <v>21</v>
      </c>
    </row>
    <row r="696" spans="1:3" x14ac:dyDescent="0.2">
      <c r="A696" s="9">
        <v>694</v>
      </c>
      <c r="B696" s="9">
        <f t="shared" ca="1" si="10"/>
        <v>0.73330679611877359</v>
      </c>
      <c r="C696" s="9" t="s">
        <v>22</v>
      </c>
    </row>
    <row r="697" spans="1:3" x14ac:dyDescent="0.2">
      <c r="A697" s="9">
        <v>695</v>
      </c>
      <c r="B697" s="9">
        <f t="shared" ca="1" si="10"/>
        <v>0.62470184017320718</v>
      </c>
      <c r="C697" s="9" t="s">
        <v>22</v>
      </c>
    </row>
    <row r="698" spans="1:3" x14ac:dyDescent="0.2">
      <c r="A698" s="9">
        <v>696</v>
      </c>
      <c r="B698" s="9">
        <f t="shared" ca="1" si="10"/>
        <v>0.92111413874228387</v>
      </c>
      <c r="C698" s="9" t="s">
        <v>22</v>
      </c>
    </row>
    <row r="699" spans="1:3" x14ac:dyDescent="0.2">
      <c r="A699" s="9">
        <v>697</v>
      </c>
      <c r="B699" s="9">
        <f t="shared" ca="1" si="10"/>
        <v>0.64120971765170398</v>
      </c>
      <c r="C699" s="9" t="s">
        <v>22</v>
      </c>
    </row>
    <row r="700" spans="1:3" x14ac:dyDescent="0.2">
      <c r="A700" s="9">
        <v>698</v>
      </c>
      <c r="B700" s="9">
        <f t="shared" ca="1" si="10"/>
        <v>0.85998636980512222</v>
      </c>
      <c r="C700" s="9" t="s">
        <v>21</v>
      </c>
    </row>
    <row r="701" spans="1:3" x14ac:dyDescent="0.2">
      <c r="A701" s="9">
        <v>699</v>
      </c>
      <c r="B701" s="9">
        <f t="shared" ca="1" si="10"/>
        <v>0.52189777922168978</v>
      </c>
      <c r="C701" s="9" t="s">
        <v>22</v>
      </c>
    </row>
    <row r="702" spans="1:3" x14ac:dyDescent="0.2">
      <c r="A702" s="9">
        <v>700</v>
      </c>
      <c r="B702" s="9">
        <f t="shared" ca="1" si="10"/>
        <v>0.41483262016825428</v>
      </c>
      <c r="C702" s="9" t="s">
        <v>22</v>
      </c>
    </row>
    <row r="703" spans="1:3" x14ac:dyDescent="0.2">
      <c r="A703" s="9">
        <v>701</v>
      </c>
      <c r="B703" s="9">
        <f t="shared" ca="1" si="10"/>
        <v>0.64425935158542613</v>
      </c>
      <c r="C703" s="9" t="s">
        <v>22</v>
      </c>
    </row>
    <row r="704" spans="1:3" x14ac:dyDescent="0.2">
      <c r="A704" s="9">
        <v>702</v>
      </c>
      <c r="B704" s="9">
        <f t="shared" ca="1" si="10"/>
        <v>0.77945654248691254</v>
      </c>
      <c r="C704" s="9" t="s">
        <v>22</v>
      </c>
    </row>
    <row r="705" spans="1:3" x14ac:dyDescent="0.2">
      <c r="A705" s="9">
        <v>703</v>
      </c>
      <c r="B705" s="9">
        <f t="shared" ca="1" si="10"/>
        <v>0.72372621572787921</v>
      </c>
      <c r="C705" s="9" t="s">
        <v>21</v>
      </c>
    </row>
    <row r="706" spans="1:3" x14ac:dyDescent="0.2">
      <c r="A706" s="9">
        <v>704</v>
      </c>
      <c r="B706" s="9">
        <f t="shared" ca="1" si="10"/>
        <v>0.74113324972687056</v>
      </c>
      <c r="C706" s="9" t="s">
        <v>21</v>
      </c>
    </row>
    <row r="707" spans="1:3" x14ac:dyDescent="0.2">
      <c r="A707" s="9">
        <v>705</v>
      </c>
      <c r="B707" s="9">
        <f t="shared" ca="1" si="10"/>
        <v>0.53281685173003057</v>
      </c>
      <c r="C707" s="9" t="s">
        <v>22</v>
      </c>
    </row>
    <row r="708" spans="1:3" x14ac:dyDescent="0.2">
      <c r="A708" s="9">
        <v>706</v>
      </c>
      <c r="B708" s="9">
        <f t="shared" ref="B708:B771" ca="1" si="11">IF(C708="Bomb",_xlfn.NORM.INV(RAND(),0.7,0.1),_xlfn.NORM.INV(RAND(),0.6,0.15))</f>
        <v>0.44868400687146409</v>
      </c>
      <c r="C708" s="9" t="s">
        <v>22</v>
      </c>
    </row>
    <row r="709" spans="1:3" x14ac:dyDescent="0.2">
      <c r="A709" s="9">
        <v>707</v>
      </c>
      <c r="B709" s="9">
        <f t="shared" ca="1" si="11"/>
        <v>0.75697218028546953</v>
      </c>
      <c r="C709" s="9" t="s">
        <v>22</v>
      </c>
    </row>
    <row r="710" spans="1:3" x14ac:dyDescent="0.2">
      <c r="A710" s="9">
        <v>708</v>
      </c>
      <c r="B710" s="9">
        <f t="shared" ca="1" si="11"/>
        <v>0.58091208388048987</v>
      </c>
      <c r="C710" s="9" t="s">
        <v>21</v>
      </c>
    </row>
    <row r="711" spans="1:3" x14ac:dyDescent="0.2">
      <c r="A711" s="9">
        <v>709</v>
      </c>
      <c r="B711" s="9">
        <f t="shared" ca="1" si="11"/>
        <v>0.64276878412270833</v>
      </c>
      <c r="C711" s="9" t="s">
        <v>21</v>
      </c>
    </row>
    <row r="712" spans="1:3" x14ac:dyDescent="0.2">
      <c r="A712" s="9">
        <v>710</v>
      </c>
      <c r="B712" s="9">
        <f t="shared" ca="1" si="11"/>
        <v>0.71342983502211421</v>
      </c>
      <c r="C712" s="9" t="s">
        <v>21</v>
      </c>
    </row>
    <row r="713" spans="1:3" x14ac:dyDescent="0.2">
      <c r="A713" s="9">
        <v>711</v>
      </c>
      <c r="B713" s="9">
        <f t="shared" ca="1" si="11"/>
        <v>0.73329943782046603</v>
      </c>
      <c r="C713" s="9" t="s">
        <v>22</v>
      </c>
    </row>
    <row r="714" spans="1:3" x14ac:dyDescent="0.2">
      <c r="A714" s="9">
        <v>712</v>
      </c>
      <c r="B714" s="9">
        <f t="shared" ca="1" si="11"/>
        <v>0.62727631975734655</v>
      </c>
      <c r="C714" s="9" t="s">
        <v>21</v>
      </c>
    </row>
    <row r="715" spans="1:3" x14ac:dyDescent="0.2">
      <c r="A715" s="9">
        <v>713</v>
      </c>
      <c r="B715" s="9">
        <f t="shared" ca="1" si="11"/>
        <v>0.73447829349009408</v>
      </c>
      <c r="C715" s="9" t="s">
        <v>22</v>
      </c>
    </row>
    <row r="716" spans="1:3" x14ac:dyDescent="0.2">
      <c r="A716" s="9">
        <v>714</v>
      </c>
      <c r="B716" s="9">
        <f t="shared" ca="1" si="11"/>
        <v>0.71245311875866324</v>
      </c>
      <c r="C716" s="9" t="s">
        <v>22</v>
      </c>
    </row>
    <row r="717" spans="1:3" x14ac:dyDescent="0.2">
      <c r="A717" s="9">
        <v>715</v>
      </c>
      <c r="B717" s="9">
        <f t="shared" ca="1" si="11"/>
        <v>0.48599214846403382</v>
      </c>
      <c r="C717" s="9" t="s">
        <v>22</v>
      </c>
    </row>
    <row r="718" spans="1:3" x14ac:dyDescent="0.2">
      <c r="A718" s="9">
        <v>716</v>
      </c>
      <c r="B718" s="9">
        <f t="shared" ca="1" si="11"/>
        <v>0.71747035135207526</v>
      </c>
      <c r="C718" s="9" t="s">
        <v>21</v>
      </c>
    </row>
    <row r="719" spans="1:3" x14ac:dyDescent="0.2">
      <c r="A719" s="9">
        <v>717</v>
      </c>
      <c r="B719" s="9">
        <f t="shared" ca="1" si="11"/>
        <v>0.8533045301042238</v>
      </c>
      <c r="C719" s="9" t="s">
        <v>22</v>
      </c>
    </row>
    <row r="720" spans="1:3" x14ac:dyDescent="0.2">
      <c r="A720" s="9">
        <v>718</v>
      </c>
      <c r="B720" s="9">
        <f t="shared" ca="1" si="11"/>
        <v>0.50284246346182049</v>
      </c>
      <c r="C720" s="9" t="s">
        <v>22</v>
      </c>
    </row>
    <row r="721" spans="1:3" x14ac:dyDescent="0.2">
      <c r="A721" s="9">
        <v>719</v>
      </c>
      <c r="B721" s="9">
        <f t="shared" ca="1" si="11"/>
        <v>0.59943318741894902</v>
      </c>
      <c r="C721" s="9" t="s">
        <v>22</v>
      </c>
    </row>
    <row r="722" spans="1:3" x14ac:dyDescent="0.2">
      <c r="A722" s="9">
        <v>720</v>
      </c>
      <c r="B722" s="9">
        <f t="shared" ca="1" si="11"/>
        <v>0.32578670285340638</v>
      </c>
      <c r="C722" s="9" t="s">
        <v>22</v>
      </c>
    </row>
    <row r="723" spans="1:3" x14ac:dyDescent="0.2">
      <c r="A723" s="9">
        <v>721</v>
      </c>
      <c r="B723" s="9">
        <f t="shared" ca="1" si="11"/>
        <v>0.90022660977012248</v>
      </c>
      <c r="C723" s="9" t="s">
        <v>21</v>
      </c>
    </row>
    <row r="724" spans="1:3" x14ac:dyDescent="0.2">
      <c r="A724" s="9">
        <v>722</v>
      </c>
      <c r="B724" s="9">
        <f t="shared" ca="1" si="11"/>
        <v>0.55240588037117178</v>
      </c>
      <c r="C724" s="9" t="s">
        <v>22</v>
      </c>
    </row>
    <row r="725" spans="1:3" x14ac:dyDescent="0.2">
      <c r="A725" s="9">
        <v>723</v>
      </c>
      <c r="B725" s="9">
        <f t="shared" ca="1" si="11"/>
        <v>0.7306783124666959</v>
      </c>
      <c r="C725" s="9" t="s">
        <v>21</v>
      </c>
    </row>
    <row r="726" spans="1:3" x14ac:dyDescent="0.2">
      <c r="A726" s="9">
        <v>724</v>
      </c>
      <c r="B726" s="9">
        <f t="shared" ca="1" si="11"/>
        <v>0.70674982178854406</v>
      </c>
      <c r="C726" s="9" t="s">
        <v>21</v>
      </c>
    </row>
    <row r="727" spans="1:3" x14ac:dyDescent="0.2">
      <c r="A727" s="9">
        <v>725</v>
      </c>
      <c r="B727" s="9">
        <f t="shared" ca="1" si="11"/>
        <v>0.61781714440832169</v>
      </c>
      <c r="C727" s="9" t="s">
        <v>22</v>
      </c>
    </row>
    <row r="728" spans="1:3" x14ac:dyDescent="0.2">
      <c r="A728" s="9">
        <v>726</v>
      </c>
      <c r="B728" s="9">
        <f t="shared" ca="1" si="11"/>
        <v>0.62951354350994437</v>
      </c>
      <c r="C728" s="9" t="s">
        <v>22</v>
      </c>
    </row>
    <row r="729" spans="1:3" x14ac:dyDescent="0.2">
      <c r="A729" s="9">
        <v>727</v>
      </c>
      <c r="B729" s="9">
        <f t="shared" ca="1" si="11"/>
        <v>0.76748076884968996</v>
      </c>
      <c r="C729" s="9" t="s">
        <v>21</v>
      </c>
    </row>
    <row r="730" spans="1:3" x14ac:dyDescent="0.2">
      <c r="A730" s="9">
        <v>728</v>
      </c>
      <c r="B730" s="9">
        <f t="shared" ca="1" si="11"/>
        <v>0.58250301353512779</v>
      </c>
      <c r="C730" s="9" t="s">
        <v>22</v>
      </c>
    </row>
    <row r="731" spans="1:3" x14ac:dyDescent="0.2">
      <c r="A731" s="9">
        <v>729</v>
      </c>
      <c r="B731" s="9">
        <f t="shared" ca="1" si="11"/>
        <v>0.70202958418567418</v>
      </c>
      <c r="C731" s="9" t="s">
        <v>21</v>
      </c>
    </row>
    <row r="732" spans="1:3" x14ac:dyDescent="0.2">
      <c r="A732" s="9">
        <v>730</v>
      </c>
      <c r="B732" s="9">
        <f t="shared" ca="1" si="11"/>
        <v>0.61845532682024562</v>
      </c>
      <c r="C732" s="9" t="s">
        <v>21</v>
      </c>
    </row>
    <row r="733" spans="1:3" x14ac:dyDescent="0.2">
      <c r="A733" s="9">
        <v>731</v>
      </c>
      <c r="B733" s="9">
        <f t="shared" ca="1" si="11"/>
        <v>0.74496923776306911</v>
      </c>
      <c r="C733" s="9" t="s">
        <v>21</v>
      </c>
    </row>
    <row r="734" spans="1:3" x14ac:dyDescent="0.2">
      <c r="A734" s="9">
        <v>732</v>
      </c>
      <c r="B734" s="9">
        <f t="shared" ca="1" si="11"/>
        <v>0.75351368122364304</v>
      </c>
      <c r="C734" s="9" t="s">
        <v>22</v>
      </c>
    </row>
    <row r="735" spans="1:3" x14ac:dyDescent="0.2">
      <c r="A735" s="9">
        <v>733</v>
      </c>
      <c r="B735" s="9">
        <f t="shared" ca="1" si="11"/>
        <v>0.68892039726062204</v>
      </c>
      <c r="C735" s="9" t="s">
        <v>22</v>
      </c>
    </row>
    <row r="736" spans="1:3" x14ac:dyDescent="0.2">
      <c r="A736" s="9">
        <v>734</v>
      </c>
      <c r="B736" s="9">
        <f t="shared" ca="1" si="11"/>
        <v>0.78026206323409186</v>
      </c>
      <c r="C736" s="9" t="s">
        <v>22</v>
      </c>
    </row>
    <row r="737" spans="1:3" x14ac:dyDescent="0.2">
      <c r="A737" s="9">
        <v>735</v>
      </c>
      <c r="B737" s="9">
        <f t="shared" ca="1" si="11"/>
        <v>0.50094563989565533</v>
      </c>
      <c r="C737" s="9" t="s">
        <v>21</v>
      </c>
    </row>
    <row r="738" spans="1:3" x14ac:dyDescent="0.2">
      <c r="A738" s="9">
        <v>736</v>
      </c>
      <c r="B738" s="9">
        <f t="shared" ca="1" si="11"/>
        <v>0.64852428736239387</v>
      </c>
      <c r="C738" s="9" t="s">
        <v>21</v>
      </c>
    </row>
    <row r="739" spans="1:3" x14ac:dyDescent="0.2">
      <c r="A739" s="9">
        <v>737</v>
      </c>
      <c r="B739" s="9">
        <f t="shared" ca="1" si="11"/>
        <v>0.46117618488943224</v>
      </c>
      <c r="C739" s="9" t="s">
        <v>22</v>
      </c>
    </row>
    <row r="740" spans="1:3" x14ac:dyDescent="0.2">
      <c r="A740" s="9">
        <v>738</v>
      </c>
      <c r="B740" s="9">
        <f t="shared" ca="1" si="11"/>
        <v>0.31737960073155741</v>
      </c>
      <c r="C740" s="9" t="s">
        <v>22</v>
      </c>
    </row>
    <row r="741" spans="1:3" x14ac:dyDescent="0.2">
      <c r="A741" s="9">
        <v>739</v>
      </c>
      <c r="B741" s="9">
        <f t="shared" ca="1" si="11"/>
        <v>0.80324835584306442</v>
      </c>
      <c r="C741" s="9" t="s">
        <v>21</v>
      </c>
    </row>
    <row r="742" spans="1:3" x14ac:dyDescent="0.2">
      <c r="A742" s="9">
        <v>740</v>
      </c>
      <c r="B742" s="9">
        <f t="shared" ca="1" si="11"/>
        <v>0.642426291475797</v>
      </c>
      <c r="C742" s="9" t="s">
        <v>22</v>
      </c>
    </row>
    <row r="743" spans="1:3" x14ac:dyDescent="0.2">
      <c r="A743" s="9">
        <v>741</v>
      </c>
      <c r="B743" s="9">
        <f t="shared" ca="1" si="11"/>
        <v>0.80480974658777538</v>
      </c>
      <c r="C743" s="9" t="s">
        <v>22</v>
      </c>
    </row>
    <row r="744" spans="1:3" x14ac:dyDescent="0.2">
      <c r="A744" s="9">
        <v>742</v>
      </c>
      <c r="B744" s="9">
        <f t="shared" ca="1" si="11"/>
        <v>0.87130266198373207</v>
      </c>
      <c r="C744" s="9" t="s">
        <v>22</v>
      </c>
    </row>
    <row r="745" spans="1:3" x14ac:dyDescent="0.2">
      <c r="A745" s="9">
        <v>743</v>
      </c>
      <c r="B745" s="9">
        <f t="shared" ca="1" si="11"/>
        <v>0.90083903931468567</v>
      </c>
      <c r="C745" s="9" t="s">
        <v>22</v>
      </c>
    </row>
    <row r="746" spans="1:3" x14ac:dyDescent="0.2">
      <c r="A746" s="9">
        <v>744</v>
      </c>
      <c r="B746" s="9">
        <f t="shared" ca="1" si="11"/>
        <v>0.24040884167189741</v>
      </c>
      <c r="C746" s="9" t="s">
        <v>22</v>
      </c>
    </row>
    <row r="747" spans="1:3" x14ac:dyDescent="0.2">
      <c r="A747" s="9">
        <v>745</v>
      </c>
      <c r="B747" s="9">
        <f t="shared" ca="1" si="11"/>
        <v>0.71229268166511861</v>
      </c>
      <c r="C747" s="9" t="s">
        <v>22</v>
      </c>
    </row>
    <row r="748" spans="1:3" x14ac:dyDescent="0.2">
      <c r="A748" s="9">
        <v>746</v>
      </c>
      <c r="B748" s="9">
        <f t="shared" ca="1" si="11"/>
        <v>0.85634832907576253</v>
      </c>
      <c r="C748" s="9" t="s">
        <v>21</v>
      </c>
    </row>
    <row r="749" spans="1:3" x14ac:dyDescent="0.2">
      <c r="A749" s="9">
        <v>747</v>
      </c>
      <c r="B749" s="9">
        <f t="shared" ca="1" si="11"/>
        <v>0.90908719018966344</v>
      </c>
      <c r="C749" s="9" t="s">
        <v>21</v>
      </c>
    </row>
    <row r="750" spans="1:3" x14ac:dyDescent="0.2">
      <c r="A750" s="9">
        <v>748</v>
      </c>
      <c r="B750" s="9">
        <f t="shared" ca="1" si="11"/>
        <v>0.6995798056638195</v>
      </c>
      <c r="C750" s="9" t="s">
        <v>22</v>
      </c>
    </row>
    <row r="751" spans="1:3" x14ac:dyDescent="0.2">
      <c r="A751" s="9">
        <v>749</v>
      </c>
      <c r="B751" s="9">
        <f t="shared" ca="1" si="11"/>
        <v>0.73888546323957249</v>
      </c>
      <c r="C751" s="9" t="s">
        <v>21</v>
      </c>
    </row>
    <row r="752" spans="1:3" x14ac:dyDescent="0.2">
      <c r="A752" s="9">
        <v>750</v>
      </c>
      <c r="B752" s="9">
        <f t="shared" ca="1" si="11"/>
        <v>0.53909366476776743</v>
      </c>
      <c r="C752" s="9" t="s">
        <v>22</v>
      </c>
    </row>
    <row r="753" spans="1:3" x14ac:dyDescent="0.2">
      <c r="A753" s="9">
        <v>751</v>
      </c>
      <c r="B753" s="9">
        <f t="shared" ca="1" si="11"/>
        <v>0.55985761217666208</v>
      </c>
      <c r="C753" s="9" t="s">
        <v>21</v>
      </c>
    </row>
    <row r="754" spans="1:3" x14ac:dyDescent="0.2">
      <c r="A754" s="9">
        <v>752</v>
      </c>
      <c r="B754" s="9">
        <f t="shared" ca="1" si="11"/>
        <v>0.81447298525073808</v>
      </c>
      <c r="C754" s="9" t="s">
        <v>21</v>
      </c>
    </row>
    <row r="755" spans="1:3" x14ac:dyDescent="0.2">
      <c r="A755" s="9">
        <v>753</v>
      </c>
      <c r="B755" s="9">
        <f t="shared" ca="1" si="11"/>
        <v>0.74166624815388438</v>
      </c>
      <c r="C755" s="9" t="s">
        <v>21</v>
      </c>
    </row>
    <row r="756" spans="1:3" x14ac:dyDescent="0.2">
      <c r="A756" s="9">
        <v>754</v>
      </c>
      <c r="B756" s="9">
        <f t="shared" ca="1" si="11"/>
        <v>0.71171121429882589</v>
      </c>
      <c r="C756" s="9" t="s">
        <v>21</v>
      </c>
    </row>
    <row r="757" spans="1:3" x14ac:dyDescent="0.2">
      <c r="A757" s="9">
        <v>755</v>
      </c>
      <c r="B757" s="9">
        <f t="shared" ca="1" si="11"/>
        <v>0.818572690377113</v>
      </c>
      <c r="C757" s="9" t="s">
        <v>22</v>
      </c>
    </row>
    <row r="758" spans="1:3" x14ac:dyDescent="0.2">
      <c r="A758" s="9">
        <v>756</v>
      </c>
      <c r="B758" s="9">
        <f t="shared" ca="1" si="11"/>
        <v>0.56945985449440428</v>
      </c>
      <c r="C758" s="9" t="s">
        <v>21</v>
      </c>
    </row>
    <row r="759" spans="1:3" x14ac:dyDescent="0.2">
      <c r="A759" s="9">
        <v>757</v>
      </c>
      <c r="B759" s="9">
        <f t="shared" ca="1" si="11"/>
        <v>0.69928182679173223</v>
      </c>
      <c r="C759" s="9" t="s">
        <v>21</v>
      </c>
    </row>
    <row r="760" spans="1:3" x14ac:dyDescent="0.2">
      <c r="A760" s="9">
        <v>758</v>
      </c>
      <c r="B760" s="9">
        <f t="shared" ca="1" si="11"/>
        <v>0.65706901358742908</v>
      </c>
      <c r="C760" s="9" t="s">
        <v>21</v>
      </c>
    </row>
    <row r="761" spans="1:3" x14ac:dyDescent="0.2">
      <c r="A761" s="9">
        <v>759</v>
      </c>
      <c r="B761" s="9">
        <f t="shared" ca="1" si="11"/>
        <v>0.61590051720061467</v>
      </c>
      <c r="C761" s="9" t="s">
        <v>22</v>
      </c>
    </row>
    <row r="762" spans="1:3" x14ac:dyDescent="0.2">
      <c r="A762" s="9">
        <v>760</v>
      </c>
      <c r="B762" s="9">
        <f t="shared" ca="1" si="11"/>
        <v>0.59242302750428588</v>
      </c>
      <c r="C762" s="9" t="s">
        <v>21</v>
      </c>
    </row>
    <row r="763" spans="1:3" x14ac:dyDescent="0.2">
      <c r="A763" s="9">
        <v>761</v>
      </c>
      <c r="B763" s="9">
        <f t="shared" ca="1" si="11"/>
        <v>0.47201154328244554</v>
      </c>
      <c r="C763" s="9" t="s">
        <v>22</v>
      </c>
    </row>
    <row r="764" spans="1:3" x14ac:dyDescent="0.2">
      <c r="A764" s="9">
        <v>762</v>
      </c>
      <c r="B764" s="9">
        <f t="shared" ca="1" si="11"/>
        <v>0.58295761307405392</v>
      </c>
      <c r="C764" s="9" t="s">
        <v>22</v>
      </c>
    </row>
    <row r="765" spans="1:3" x14ac:dyDescent="0.2">
      <c r="A765" s="9">
        <v>763</v>
      </c>
      <c r="B765" s="9">
        <f t="shared" ca="1" si="11"/>
        <v>0.67500242291207513</v>
      </c>
      <c r="C765" s="9" t="s">
        <v>22</v>
      </c>
    </row>
    <row r="766" spans="1:3" x14ac:dyDescent="0.2">
      <c r="A766" s="9">
        <v>764</v>
      </c>
      <c r="B766" s="9">
        <f t="shared" ca="1" si="11"/>
        <v>0.57184244208434343</v>
      </c>
      <c r="C766" s="9" t="s">
        <v>22</v>
      </c>
    </row>
    <row r="767" spans="1:3" x14ac:dyDescent="0.2">
      <c r="A767" s="9">
        <v>765</v>
      </c>
      <c r="B767" s="9">
        <f t="shared" ca="1" si="11"/>
        <v>0.57029006670592841</v>
      </c>
      <c r="C767" s="9" t="s">
        <v>22</v>
      </c>
    </row>
    <row r="768" spans="1:3" x14ac:dyDescent="0.2">
      <c r="A768" s="9">
        <v>766</v>
      </c>
      <c r="B768" s="9">
        <f t="shared" ca="1" si="11"/>
        <v>0.5941253410903099</v>
      </c>
      <c r="C768" s="9" t="s">
        <v>22</v>
      </c>
    </row>
    <row r="769" spans="1:3" x14ac:dyDescent="0.2">
      <c r="A769" s="9">
        <v>767</v>
      </c>
      <c r="B769" s="9">
        <f t="shared" ca="1" si="11"/>
        <v>0.6037462064572432</v>
      </c>
      <c r="C769" s="9" t="s">
        <v>21</v>
      </c>
    </row>
    <row r="770" spans="1:3" x14ac:dyDescent="0.2">
      <c r="A770" s="9">
        <v>768</v>
      </c>
      <c r="B770" s="9">
        <f t="shared" ca="1" si="11"/>
        <v>0.7389850536772179</v>
      </c>
      <c r="C770" s="9" t="s">
        <v>21</v>
      </c>
    </row>
    <row r="771" spans="1:3" x14ac:dyDescent="0.2">
      <c r="A771" s="9">
        <v>769</v>
      </c>
      <c r="B771" s="9">
        <f t="shared" ca="1" si="11"/>
        <v>0.84061162502115838</v>
      </c>
      <c r="C771" s="9" t="s">
        <v>22</v>
      </c>
    </row>
    <row r="772" spans="1:3" x14ac:dyDescent="0.2">
      <c r="A772" s="9">
        <v>770</v>
      </c>
      <c r="B772" s="9">
        <f t="shared" ref="B772:B835" ca="1" si="12">IF(C772="Bomb",_xlfn.NORM.INV(RAND(),0.7,0.1),_xlfn.NORM.INV(RAND(),0.6,0.15))</f>
        <v>0.76804817923561286</v>
      </c>
      <c r="C772" s="9" t="s">
        <v>21</v>
      </c>
    </row>
    <row r="773" spans="1:3" x14ac:dyDescent="0.2">
      <c r="A773" s="9">
        <v>771</v>
      </c>
      <c r="B773" s="9">
        <f t="shared" ca="1" si="12"/>
        <v>0.56243764532557317</v>
      </c>
      <c r="C773" s="9" t="s">
        <v>22</v>
      </c>
    </row>
    <row r="774" spans="1:3" x14ac:dyDescent="0.2">
      <c r="A774" s="9">
        <v>772</v>
      </c>
      <c r="B774" s="9">
        <f t="shared" ca="1" si="12"/>
        <v>0.49979706104828076</v>
      </c>
      <c r="C774" s="9" t="s">
        <v>22</v>
      </c>
    </row>
    <row r="775" spans="1:3" x14ac:dyDescent="0.2">
      <c r="A775" s="9">
        <v>773</v>
      </c>
      <c r="B775" s="9">
        <f t="shared" ca="1" si="12"/>
        <v>0.66029395474808283</v>
      </c>
      <c r="C775" s="9" t="s">
        <v>22</v>
      </c>
    </row>
    <row r="776" spans="1:3" x14ac:dyDescent="0.2">
      <c r="A776" s="9">
        <v>774</v>
      </c>
      <c r="B776" s="9">
        <f t="shared" ca="1" si="12"/>
        <v>0.52675833768928004</v>
      </c>
      <c r="C776" s="9" t="s">
        <v>22</v>
      </c>
    </row>
    <row r="777" spans="1:3" x14ac:dyDescent="0.2">
      <c r="A777" s="9">
        <v>775</v>
      </c>
      <c r="B777" s="9">
        <f t="shared" ca="1" si="12"/>
        <v>0.56805492174392258</v>
      </c>
      <c r="C777" s="9" t="s">
        <v>21</v>
      </c>
    </row>
    <row r="778" spans="1:3" x14ac:dyDescent="0.2">
      <c r="A778" s="9">
        <v>776</v>
      </c>
      <c r="B778" s="9">
        <f t="shared" ca="1" si="12"/>
        <v>0.31266283633320374</v>
      </c>
      <c r="C778" s="9" t="s">
        <v>22</v>
      </c>
    </row>
    <row r="779" spans="1:3" x14ac:dyDescent="0.2">
      <c r="A779" s="9">
        <v>777</v>
      </c>
      <c r="B779" s="9">
        <f t="shared" ca="1" si="12"/>
        <v>0.55738084036462898</v>
      </c>
      <c r="C779" s="9" t="s">
        <v>21</v>
      </c>
    </row>
    <row r="780" spans="1:3" x14ac:dyDescent="0.2">
      <c r="A780" s="9">
        <v>778</v>
      </c>
      <c r="B780" s="9">
        <f t="shared" ca="1" si="12"/>
        <v>0.60549309660863648</v>
      </c>
      <c r="C780" s="9" t="s">
        <v>21</v>
      </c>
    </row>
    <row r="781" spans="1:3" x14ac:dyDescent="0.2">
      <c r="A781" s="9">
        <v>779</v>
      </c>
      <c r="B781" s="9">
        <f t="shared" ca="1" si="12"/>
        <v>0.71824140123235669</v>
      </c>
      <c r="C781" s="9" t="s">
        <v>21</v>
      </c>
    </row>
    <row r="782" spans="1:3" x14ac:dyDescent="0.2">
      <c r="A782" s="9">
        <v>780</v>
      </c>
      <c r="B782" s="9">
        <f t="shared" ca="1" si="12"/>
        <v>0.69834276287793695</v>
      </c>
      <c r="C782" s="9" t="s">
        <v>21</v>
      </c>
    </row>
    <row r="783" spans="1:3" x14ac:dyDescent="0.2">
      <c r="A783" s="9">
        <v>781</v>
      </c>
      <c r="B783" s="9">
        <f t="shared" ca="1" si="12"/>
        <v>0.84253924406363434</v>
      </c>
      <c r="C783" s="9" t="s">
        <v>21</v>
      </c>
    </row>
    <row r="784" spans="1:3" x14ac:dyDescent="0.2">
      <c r="A784" s="9">
        <v>782</v>
      </c>
      <c r="B784" s="9">
        <f t="shared" ca="1" si="12"/>
        <v>0.5770200448229158</v>
      </c>
      <c r="C784" s="9" t="s">
        <v>21</v>
      </c>
    </row>
    <row r="785" spans="1:3" x14ac:dyDescent="0.2">
      <c r="A785" s="9">
        <v>783</v>
      </c>
      <c r="B785" s="9">
        <f t="shared" ca="1" si="12"/>
        <v>0.76270264356624906</v>
      </c>
      <c r="C785" s="9" t="s">
        <v>21</v>
      </c>
    </row>
    <row r="786" spans="1:3" x14ac:dyDescent="0.2">
      <c r="A786" s="9">
        <v>784</v>
      </c>
      <c r="B786" s="9">
        <f t="shared" ca="1" si="12"/>
        <v>0.47190323574599058</v>
      </c>
      <c r="C786" s="9" t="s">
        <v>22</v>
      </c>
    </row>
    <row r="787" spans="1:3" x14ac:dyDescent="0.2">
      <c r="A787" s="9">
        <v>785</v>
      </c>
      <c r="B787" s="9">
        <f t="shared" ca="1" si="12"/>
        <v>0.58349370711304593</v>
      </c>
      <c r="C787" s="9" t="s">
        <v>22</v>
      </c>
    </row>
    <row r="788" spans="1:3" x14ac:dyDescent="0.2">
      <c r="A788" s="9">
        <v>786</v>
      </c>
      <c r="B788" s="9">
        <f t="shared" ca="1" si="12"/>
        <v>0.67592987204292865</v>
      </c>
      <c r="C788" s="9" t="s">
        <v>22</v>
      </c>
    </row>
    <row r="789" spans="1:3" x14ac:dyDescent="0.2">
      <c r="A789" s="9">
        <v>787</v>
      </c>
      <c r="B789" s="9">
        <f t="shared" ca="1" si="12"/>
        <v>0.68247473135793335</v>
      </c>
      <c r="C789" s="9" t="s">
        <v>21</v>
      </c>
    </row>
    <row r="790" spans="1:3" x14ac:dyDescent="0.2">
      <c r="A790" s="9">
        <v>788</v>
      </c>
      <c r="B790" s="9">
        <f t="shared" ca="1" si="12"/>
        <v>0.67336101318612074</v>
      </c>
      <c r="C790" s="9" t="s">
        <v>22</v>
      </c>
    </row>
    <row r="791" spans="1:3" x14ac:dyDescent="0.2">
      <c r="A791" s="9">
        <v>789</v>
      </c>
      <c r="B791" s="9">
        <f t="shared" ca="1" si="12"/>
        <v>0.7598976206014062</v>
      </c>
      <c r="C791" s="9" t="s">
        <v>21</v>
      </c>
    </row>
    <row r="792" spans="1:3" x14ac:dyDescent="0.2">
      <c r="A792" s="9">
        <v>790</v>
      </c>
      <c r="B792" s="9">
        <f t="shared" ca="1" si="12"/>
        <v>0.82949597884397885</v>
      </c>
      <c r="C792" s="9" t="s">
        <v>21</v>
      </c>
    </row>
    <row r="793" spans="1:3" x14ac:dyDescent="0.2">
      <c r="A793" s="9">
        <v>791</v>
      </c>
      <c r="B793" s="9">
        <f t="shared" ca="1" si="12"/>
        <v>0.96597684486896274</v>
      </c>
      <c r="C793" s="9" t="s">
        <v>22</v>
      </c>
    </row>
    <row r="794" spans="1:3" x14ac:dyDescent="0.2">
      <c r="A794" s="9">
        <v>792</v>
      </c>
      <c r="B794" s="9">
        <f t="shared" ca="1" si="12"/>
        <v>0.65722691518124488</v>
      </c>
      <c r="C794" s="9" t="s">
        <v>22</v>
      </c>
    </row>
    <row r="795" spans="1:3" x14ac:dyDescent="0.2">
      <c r="A795" s="9">
        <v>793</v>
      </c>
      <c r="B795" s="9">
        <f t="shared" ca="1" si="12"/>
        <v>0.72625943930777115</v>
      </c>
      <c r="C795" s="9" t="s">
        <v>21</v>
      </c>
    </row>
    <row r="796" spans="1:3" x14ac:dyDescent="0.2">
      <c r="A796" s="9">
        <v>794</v>
      </c>
      <c r="B796" s="9">
        <f t="shared" ca="1" si="12"/>
        <v>0.60502140391527526</v>
      </c>
      <c r="C796" s="9" t="s">
        <v>22</v>
      </c>
    </row>
    <row r="797" spans="1:3" x14ac:dyDescent="0.2">
      <c r="A797" s="9">
        <v>795</v>
      </c>
      <c r="B797" s="9">
        <f t="shared" ca="1" si="12"/>
        <v>0.62922973831804552</v>
      </c>
      <c r="C797" s="9" t="s">
        <v>22</v>
      </c>
    </row>
    <row r="798" spans="1:3" x14ac:dyDescent="0.2">
      <c r="A798" s="9">
        <v>796</v>
      </c>
      <c r="B798" s="9">
        <f t="shared" ca="1" si="12"/>
        <v>0.52653283554500663</v>
      </c>
      <c r="C798" s="9" t="s">
        <v>22</v>
      </c>
    </row>
    <row r="799" spans="1:3" x14ac:dyDescent="0.2">
      <c r="A799" s="9">
        <v>797</v>
      </c>
      <c r="B799" s="9">
        <f t="shared" ca="1" si="12"/>
        <v>0.64321791850441368</v>
      </c>
      <c r="C799" s="9" t="s">
        <v>22</v>
      </c>
    </row>
    <row r="800" spans="1:3" x14ac:dyDescent="0.2">
      <c r="A800" s="9">
        <v>798</v>
      </c>
      <c r="B800" s="9">
        <f t="shared" ca="1" si="12"/>
        <v>0.81441263973341615</v>
      </c>
      <c r="C800" s="9" t="s">
        <v>21</v>
      </c>
    </row>
    <row r="801" spans="1:3" x14ac:dyDescent="0.2">
      <c r="A801" s="9">
        <v>799</v>
      </c>
      <c r="B801" s="9">
        <f t="shared" ca="1" si="12"/>
        <v>0.83925988299678922</v>
      </c>
      <c r="C801" s="9" t="s">
        <v>22</v>
      </c>
    </row>
    <row r="802" spans="1:3" x14ac:dyDescent="0.2">
      <c r="A802" s="9">
        <v>800</v>
      </c>
      <c r="B802" s="9">
        <f t="shared" ca="1" si="12"/>
        <v>0.58486229670195455</v>
      </c>
      <c r="C802" s="9" t="s">
        <v>22</v>
      </c>
    </row>
    <row r="803" spans="1:3" x14ac:dyDescent="0.2">
      <c r="A803" s="9">
        <v>801</v>
      </c>
      <c r="B803" s="9">
        <f t="shared" ca="1" si="12"/>
        <v>0.66397838180624724</v>
      </c>
      <c r="C803" s="9" t="s">
        <v>22</v>
      </c>
    </row>
    <row r="804" spans="1:3" x14ac:dyDescent="0.2">
      <c r="A804" s="9">
        <v>802</v>
      </c>
      <c r="B804" s="9">
        <f t="shared" ca="1" si="12"/>
        <v>0.40447586508159472</v>
      </c>
      <c r="C804" s="9" t="s">
        <v>22</v>
      </c>
    </row>
    <row r="805" spans="1:3" x14ac:dyDescent="0.2">
      <c r="A805" s="9">
        <v>803</v>
      </c>
      <c r="B805" s="9">
        <f t="shared" ca="1" si="12"/>
        <v>0.65060664525964529</v>
      </c>
      <c r="C805" s="9" t="s">
        <v>21</v>
      </c>
    </row>
    <row r="806" spans="1:3" x14ac:dyDescent="0.2">
      <c r="A806" s="9">
        <v>804</v>
      </c>
      <c r="B806" s="9">
        <f t="shared" ca="1" si="12"/>
        <v>0.49830057599347494</v>
      </c>
      <c r="C806" s="9" t="s">
        <v>22</v>
      </c>
    </row>
    <row r="807" spans="1:3" x14ac:dyDescent="0.2">
      <c r="A807" s="9">
        <v>805</v>
      </c>
      <c r="B807" s="9">
        <f t="shared" ca="1" si="12"/>
        <v>0.61814947385893004</v>
      </c>
      <c r="C807" s="9" t="s">
        <v>21</v>
      </c>
    </row>
    <row r="808" spans="1:3" x14ac:dyDescent="0.2">
      <c r="A808" s="9">
        <v>806</v>
      </c>
      <c r="B808" s="9">
        <f t="shared" ca="1" si="12"/>
        <v>0.59000985150184948</v>
      </c>
      <c r="C808" s="9" t="s">
        <v>22</v>
      </c>
    </row>
    <row r="809" spans="1:3" x14ac:dyDescent="0.2">
      <c r="A809" s="9">
        <v>807</v>
      </c>
      <c r="B809" s="9">
        <f t="shared" ca="1" si="12"/>
        <v>0.8788223345660493</v>
      </c>
      <c r="C809" s="9" t="s">
        <v>21</v>
      </c>
    </row>
    <row r="810" spans="1:3" x14ac:dyDescent="0.2">
      <c r="A810" s="9">
        <v>808</v>
      </c>
      <c r="B810" s="9">
        <f t="shared" ca="1" si="12"/>
        <v>0.80627434188503055</v>
      </c>
      <c r="C810" s="9" t="s">
        <v>21</v>
      </c>
    </row>
    <row r="811" spans="1:3" x14ac:dyDescent="0.2">
      <c r="A811" s="9">
        <v>809</v>
      </c>
      <c r="B811" s="9">
        <f t="shared" ca="1" si="12"/>
        <v>0.78215012988986299</v>
      </c>
      <c r="C811" s="9" t="s">
        <v>21</v>
      </c>
    </row>
    <row r="812" spans="1:3" x14ac:dyDescent="0.2">
      <c r="A812" s="9">
        <v>810</v>
      </c>
      <c r="B812" s="9">
        <f t="shared" ca="1" si="12"/>
        <v>0.80675972014155506</v>
      </c>
      <c r="C812" s="9" t="s">
        <v>21</v>
      </c>
    </row>
    <row r="813" spans="1:3" x14ac:dyDescent="0.2">
      <c r="A813" s="9">
        <v>811</v>
      </c>
      <c r="B813" s="9">
        <f t="shared" ca="1" si="12"/>
        <v>0.61035456034328039</v>
      </c>
      <c r="C813" s="9" t="s">
        <v>22</v>
      </c>
    </row>
    <row r="814" spans="1:3" x14ac:dyDescent="0.2">
      <c r="A814" s="9">
        <v>812</v>
      </c>
      <c r="B814" s="9">
        <f t="shared" ca="1" si="12"/>
        <v>0.61967628696543631</v>
      </c>
      <c r="C814" s="9" t="s">
        <v>21</v>
      </c>
    </row>
    <row r="815" spans="1:3" x14ac:dyDescent="0.2">
      <c r="A815" s="9">
        <v>813</v>
      </c>
      <c r="B815" s="9">
        <f t="shared" ca="1" si="12"/>
        <v>0.58572134629417905</v>
      </c>
      <c r="C815" s="9" t="s">
        <v>21</v>
      </c>
    </row>
    <row r="816" spans="1:3" x14ac:dyDescent="0.2">
      <c r="A816" s="9">
        <v>814</v>
      </c>
      <c r="B816" s="9">
        <f t="shared" ca="1" si="12"/>
        <v>0.2518553572945042</v>
      </c>
      <c r="C816" s="9" t="s">
        <v>22</v>
      </c>
    </row>
    <row r="817" spans="1:3" x14ac:dyDescent="0.2">
      <c r="A817" s="9">
        <v>815</v>
      </c>
      <c r="B817" s="9">
        <f t="shared" ca="1" si="12"/>
        <v>0.64072575291314959</v>
      </c>
      <c r="C817" s="9" t="s">
        <v>22</v>
      </c>
    </row>
    <row r="818" spans="1:3" x14ac:dyDescent="0.2">
      <c r="A818" s="9">
        <v>816</v>
      </c>
      <c r="B818" s="9">
        <f t="shared" ca="1" si="12"/>
        <v>0.51746717539183495</v>
      </c>
      <c r="C818" s="9" t="s">
        <v>22</v>
      </c>
    </row>
    <row r="819" spans="1:3" x14ac:dyDescent="0.2">
      <c r="A819" s="9">
        <v>817</v>
      </c>
      <c r="B819" s="9">
        <f t="shared" ca="1" si="12"/>
        <v>0.68519144004168475</v>
      </c>
      <c r="C819" s="9" t="s">
        <v>22</v>
      </c>
    </row>
    <row r="820" spans="1:3" x14ac:dyDescent="0.2">
      <c r="A820" s="9">
        <v>818</v>
      </c>
      <c r="B820" s="9">
        <f t="shared" ca="1" si="12"/>
        <v>0.58718106029636619</v>
      </c>
      <c r="C820" s="9" t="s">
        <v>22</v>
      </c>
    </row>
    <row r="821" spans="1:3" x14ac:dyDescent="0.2">
      <c r="A821" s="9">
        <v>819</v>
      </c>
      <c r="B821" s="9">
        <f t="shared" ca="1" si="12"/>
        <v>0.93833571984160025</v>
      </c>
      <c r="C821" s="9" t="s">
        <v>22</v>
      </c>
    </row>
    <row r="822" spans="1:3" x14ac:dyDescent="0.2">
      <c r="A822" s="9">
        <v>820</v>
      </c>
      <c r="B822" s="9">
        <f t="shared" ca="1" si="12"/>
        <v>0.81721408430816178</v>
      </c>
      <c r="C822" s="9" t="s">
        <v>22</v>
      </c>
    </row>
    <row r="823" spans="1:3" x14ac:dyDescent="0.2">
      <c r="A823" s="9">
        <v>821</v>
      </c>
      <c r="B823" s="9">
        <f t="shared" ca="1" si="12"/>
        <v>0.58345530383944177</v>
      </c>
      <c r="C823" s="9" t="s">
        <v>21</v>
      </c>
    </row>
    <row r="824" spans="1:3" x14ac:dyDescent="0.2">
      <c r="A824" s="9">
        <v>822</v>
      </c>
      <c r="B824" s="9">
        <f t="shared" ca="1" si="12"/>
        <v>0.66786861457781621</v>
      </c>
      <c r="C824" s="9" t="s">
        <v>22</v>
      </c>
    </row>
    <row r="825" spans="1:3" x14ac:dyDescent="0.2">
      <c r="A825" s="9">
        <v>823</v>
      </c>
      <c r="B825" s="9">
        <f t="shared" ca="1" si="12"/>
        <v>0.90425112274803787</v>
      </c>
      <c r="C825" s="9" t="s">
        <v>21</v>
      </c>
    </row>
    <row r="826" spans="1:3" x14ac:dyDescent="0.2">
      <c r="A826" s="9">
        <v>824</v>
      </c>
      <c r="B826" s="9">
        <f t="shared" ca="1" si="12"/>
        <v>0.79514476527766997</v>
      </c>
      <c r="C826" s="9" t="s">
        <v>21</v>
      </c>
    </row>
    <row r="827" spans="1:3" x14ac:dyDescent="0.2">
      <c r="A827" s="9">
        <v>825</v>
      </c>
      <c r="B827" s="9">
        <f t="shared" ca="1" si="12"/>
        <v>0.62066702260404383</v>
      </c>
      <c r="C827" s="9" t="s">
        <v>21</v>
      </c>
    </row>
    <row r="828" spans="1:3" x14ac:dyDescent="0.2">
      <c r="A828" s="9">
        <v>826</v>
      </c>
      <c r="B828" s="9">
        <f t="shared" ca="1" si="12"/>
        <v>0.45878540611551755</v>
      </c>
      <c r="C828" s="9" t="s">
        <v>22</v>
      </c>
    </row>
    <row r="829" spans="1:3" x14ac:dyDescent="0.2">
      <c r="A829" s="9">
        <v>827</v>
      </c>
      <c r="B829" s="9">
        <f t="shared" ca="1" si="12"/>
        <v>0.61651445945417283</v>
      </c>
      <c r="C829" s="9" t="s">
        <v>22</v>
      </c>
    </row>
    <row r="830" spans="1:3" x14ac:dyDescent="0.2">
      <c r="A830" s="9">
        <v>828</v>
      </c>
      <c r="B830" s="9">
        <f t="shared" ca="1" si="12"/>
        <v>0.67522738290864392</v>
      </c>
      <c r="C830" s="9" t="s">
        <v>22</v>
      </c>
    </row>
    <row r="831" spans="1:3" x14ac:dyDescent="0.2">
      <c r="A831" s="9">
        <v>829</v>
      </c>
      <c r="B831" s="9">
        <f t="shared" ca="1" si="12"/>
        <v>0.72947792284719659</v>
      </c>
      <c r="C831" s="9" t="s">
        <v>21</v>
      </c>
    </row>
    <row r="832" spans="1:3" x14ac:dyDescent="0.2">
      <c r="A832" s="9">
        <v>830</v>
      </c>
      <c r="B832" s="9">
        <f t="shared" ca="1" si="12"/>
        <v>0.38339949771275605</v>
      </c>
      <c r="C832" s="9" t="s">
        <v>22</v>
      </c>
    </row>
    <row r="833" spans="1:3" x14ac:dyDescent="0.2">
      <c r="A833" s="9">
        <v>831</v>
      </c>
      <c r="B833" s="9">
        <f t="shared" ca="1" si="12"/>
        <v>0.60871043065733133</v>
      </c>
      <c r="C833" s="9" t="s">
        <v>22</v>
      </c>
    </row>
    <row r="834" spans="1:3" x14ac:dyDescent="0.2">
      <c r="A834" s="9">
        <v>832</v>
      </c>
      <c r="B834" s="9">
        <f t="shared" ca="1" si="12"/>
        <v>0.67060971124443247</v>
      </c>
      <c r="C834" s="9" t="s">
        <v>22</v>
      </c>
    </row>
    <row r="835" spans="1:3" x14ac:dyDescent="0.2">
      <c r="A835" s="9">
        <v>833</v>
      </c>
      <c r="B835" s="9">
        <f t="shared" ca="1" si="12"/>
        <v>0.76191972291338939</v>
      </c>
      <c r="C835" s="9" t="s">
        <v>21</v>
      </c>
    </row>
    <row r="836" spans="1:3" x14ac:dyDescent="0.2">
      <c r="A836" s="9">
        <v>834</v>
      </c>
      <c r="B836" s="9">
        <f t="shared" ref="B836:B899" ca="1" si="13">IF(C836="Bomb",_xlfn.NORM.INV(RAND(),0.7,0.1),_xlfn.NORM.INV(RAND(),0.6,0.15))</f>
        <v>0.48484454066063415</v>
      </c>
      <c r="C836" s="9" t="s">
        <v>22</v>
      </c>
    </row>
    <row r="837" spans="1:3" x14ac:dyDescent="0.2">
      <c r="A837" s="9">
        <v>835</v>
      </c>
      <c r="B837" s="9">
        <f t="shared" ca="1" si="13"/>
        <v>0.66045717361814682</v>
      </c>
      <c r="C837" s="9" t="s">
        <v>21</v>
      </c>
    </row>
    <row r="838" spans="1:3" x14ac:dyDescent="0.2">
      <c r="A838" s="9">
        <v>836</v>
      </c>
      <c r="B838" s="9">
        <f t="shared" ca="1" si="13"/>
        <v>0.54996132353847116</v>
      </c>
      <c r="C838" s="9" t="s">
        <v>22</v>
      </c>
    </row>
    <row r="839" spans="1:3" x14ac:dyDescent="0.2">
      <c r="A839" s="9">
        <v>837</v>
      </c>
      <c r="B839" s="9">
        <f t="shared" ca="1" si="13"/>
        <v>0.83627074956354741</v>
      </c>
      <c r="C839" s="9" t="s">
        <v>21</v>
      </c>
    </row>
    <row r="840" spans="1:3" x14ac:dyDescent="0.2">
      <c r="A840" s="9">
        <v>838</v>
      </c>
      <c r="B840" s="9">
        <f t="shared" ca="1" si="13"/>
        <v>0.75837954505475391</v>
      </c>
      <c r="C840" s="9" t="s">
        <v>22</v>
      </c>
    </row>
    <row r="841" spans="1:3" x14ac:dyDescent="0.2">
      <c r="A841" s="9">
        <v>839</v>
      </c>
      <c r="B841" s="9">
        <f t="shared" ca="1" si="13"/>
        <v>0.71557077111020662</v>
      </c>
      <c r="C841" s="9" t="s">
        <v>21</v>
      </c>
    </row>
    <row r="842" spans="1:3" x14ac:dyDescent="0.2">
      <c r="A842" s="9">
        <v>840</v>
      </c>
      <c r="B842" s="9">
        <f t="shared" ca="1" si="13"/>
        <v>0.75948693561811509</v>
      </c>
      <c r="C842" s="9" t="s">
        <v>21</v>
      </c>
    </row>
    <row r="843" spans="1:3" x14ac:dyDescent="0.2">
      <c r="A843" s="9">
        <v>841</v>
      </c>
      <c r="B843" s="9">
        <f t="shared" ca="1" si="13"/>
        <v>0.6143141846594885</v>
      </c>
      <c r="C843" s="9" t="s">
        <v>21</v>
      </c>
    </row>
    <row r="844" spans="1:3" x14ac:dyDescent="0.2">
      <c r="A844" s="9">
        <v>842</v>
      </c>
      <c r="B844" s="9">
        <f t="shared" ca="1" si="13"/>
        <v>0.48080818950695758</v>
      </c>
      <c r="C844" s="9" t="s">
        <v>22</v>
      </c>
    </row>
    <row r="845" spans="1:3" x14ac:dyDescent="0.2">
      <c r="A845" s="9">
        <v>843</v>
      </c>
      <c r="B845" s="9">
        <f t="shared" ca="1" si="13"/>
        <v>0.86051222187881826</v>
      </c>
      <c r="C845" s="9" t="s">
        <v>22</v>
      </c>
    </row>
    <row r="846" spans="1:3" x14ac:dyDescent="0.2">
      <c r="A846" s="9">
        <v>844</v>
      </c>
      <c r="B846" s="9">
        <f t="shared" ca="1" si="13"/>
        <v>0.485029011159889</v>
      </c>
      <c r="C846" s="9" t="s">
        <v>22</v>
      </c>
    </row>
    <row r="847" spans="1:3" x14ac:dyDescent="0.2">
      <c r="A847" s="9">
        <v>845</v>
      </c>
      <c r="B847" s="9">
        <f t="shared" ca="1" si="13"/>
        <v>0.35441815595995629</v>
      </c>
      <c r="C847" s="9" t="s">
        <v>22</v>
      </c>
    </row>
    <row r="848" spans="1:3" x14ac:dyDescent="0.2">
      <c r="A848" s="9">
        <v>846</v>
      </c>
      <c r="B848" s="9">
        <f t="shared" ca="1" si="13"/>
        <v>0.58573877131793117</v>
      </c>
      <c r="C848" s="9" t="s">
        <v>22</v>
      </c>
    </row>
    <row r="849" spans="1:3" x14ac:dyDescent="0.2">
      <c r="A849" s="9">
        <v>847</v>
      </c>
      <c r="B849" s="9">
        <f t="shared" ca="1" si="13"/>
        <v>0.70215550838429441</v>
      </c>
      <c r="C849" s="9" t="s">
        <v>21</v>
      </c>
    </row>
    <row r="850" spans="1:3" x14ac:dyDescent="0.2">
      <c r="A850" s="9">
        <v>848</v>
      </c>
      <c r="B850" s="9">
        <f t="shared" ca="1" si="13"/>
        <v>0.36919009290205773</v>
      </c>
      <c r="C850" s="9" t="s">
        <v>22</v>
      </c>
    </row>
    <row r="851" spans="1:3" x14ac:dyDescent="0.2">
      <c r="A851" s="9">
        <v>849</v>
      </c>
      <c r="B851" s="9">
        <f t="shared" ca="1" si="13"/>
        <v>0.65262926901484641</v>
      </c>
      <c r="C851" s="9" t="s">
        <v>21</v>
      </c>
    </row>
    <row r="852" spans="1:3" x14ac:dyDescent="0.2">
      <c r="A852" s="9">
        <v>850</v>
      </c>
      <c r="B852" s="9">
        <f t="shared" ca="1" si="13"/>
        <v>0.68741607124396731</v>
      </c>
      <c r="C852" s="9" t="s">
        <v>22</v>
      </c>
    </row>
    <row r="853" spans="1:3" x14ac:dyDescent="0.2">
      <c r="A853" s="9">
        <v>851</v>
      </c>
      <c r="B853" s="9">
        <f t="shared" ca="1" si="13"/>
        <v>0.44052718941571445</v>
      </c>
      <c r="C853" s="9" t="s">
        <v>22</v>
      </c>
    </row>
    <row r="854" spans="1:3" x14ac:dyDescent="0.2">
      <c r="A854" s="9">
        <v>852</v>
      </c>
      <c r="B854" s="9">
        <f t="shared" ca="1" si="13"/>
        <v>0.63708419786672799</v>
      </c>
      <c r="C854" s="9" t="s">
        <v>22</v>
      </c>
    </row>
    <row r="855" spans="1:3" x14ac:dyDescent="0.2">
      <c r="A855" s="9">
        <v>853</v>
      </c>
      <c r="B855" s="9">
        <f t="shared" ca="1" si="13"/>
        <v>0.57791160822179599</v>
      </c>
      <c r="C855" s="9" t="s">
        <v>22</v>
      </c>
    </row>
    <row r="856" spans="1:3" x14ac:dyDescent="0.2">
      <c r="A856" s="9">
        <v>854</v>
      </c>
      <c r="B856" s="9">
        <f t="shared" ca="1" si="13"/>
        <v>0.26101282970076611</v>
      </c>
      <c r="C856" s="9" t="s">
        <v>22</v>
      </c>
    </row>
    <row r="857" spans="1:3" x14ac:dyDescent="0.2">
      <c r="A857" s="9">
        <v>855</v>
      </c>
      <c r="B857" s="9">
        <f t="shared" ca="1" si="13"/>
        <v>0.82170121715125832</v>
      </c>
      <c r="C857" s="9" t="s">
        <v>21</v>
      </c>
    </row>
    <row r="858" spans="1:3" x14ac:dyDescent="0.2">
      <c r="A858" s="9">
        <v>856</v>
      </c>
      <c r="B858" s="9">
        <f t="shared" ca="1" si="13"/>
        <v>0.67569255453049881</v>
      </c>
      <c r="C858" s="9" t="s">
        <v>21</v>
      </c>
    </row>
    <row r="859" spans="1:3" x14ac:dyDescent="0.2">
      <c r="A859" s="9">
        <v>857</v>
      </c>
      <c r="B859" s="9">
        <f t="shared" ca="1" si="13"/>
        <v>0.6704440828442686</v>
      </c>
      <c r="C859" s="9" t="s">
        <v>22</v>
      </c>
    </row>
    <row r="860" spans="1:3" x14ac:dyDescent="0.2">
      <c r="A860" s="9">
        <v>858</v>
      </c>
      <c r="B860" s="9">
        <f t="shared" ca="1" si="13"/>
        <v>0.87074203696125529</v>
      </c>
      <c r="C860" s="9" t="s">
        <v>22</v>
      </c>
    </row>
    <row r="861" spans="1:3" x14ac:dyDescent="0.2">
      <c r="A861" s="9">
        <v>859</v>
      </c>
      <c r="B861" s="9">
        <f t="shared" ca="1" si="13"/>
        <v>0.55219048511812119</v>
      </c>
      <c r="C861" s="9" t="s">
        <v>22</v>
      </c>
    </row>
    <row r="862" spans="1:3" x14ac:dyDescent="0.2">
      <c r="A862" s="9">
        <v>860</v>
      </c>
      <c r="B862" s="9">
        <f t="shared" ca="1" si="13"/>
        <v>0.58945869180767385</v>
      </c>
      <c r="C862" s="9" t="s">
        <v>22</v>
      </c>
    </row>
    <row r="863" spans="1:3" x14ac:dyDescent="0.2">
      <c r="A863" s="9">
        <v>861</v>
      </c>
      <c r="B863" s="9">
        <f t="shared" ca="1" si="13"/>
        <v>0.64127513824511051</v>
      </c>
      <c r="C863" s="9" t="s">
        <v>21</v>
      </c>
    </row>
    <row r="864" spans="1:3" x14ac:dyDescent="0.2">
      <c r="A864" s="9">
        <v>862</v>
      </c>
      <c r="B864" s="9">
        <f t="shared" ca="1" si="13"/>
        <v>0.56576049124005701</v>
      </c>
      <c r="C864" s="9" t="s">
        <v>22</v>
      </c>
    </row>
    <row r="865" spans="1:3" x14ac:dyDescent="0.2">
      <c r="A865" s="9">
        <v>863</v>
      </c>
      <c r="B865" s="9">
        <f t="shared" ca="1" si="13"/>
        <v>0.89395879554024971</v>
      </c>
      <c r="C865" s="9" t="s">
        <v>22</v>
      </c>
    </row>
    <row r="866" spans="1:3" x14ac:dyDescent="0.2">
      <c r="A866" s="9">
        <v>864</v>
      </c>
      <c r="B866" s="9">
        <f t="shared" ca="1" si="13"/>
        <v>0.7027750452062852</v>
      </c>
      <c r="C866" s="9" t="s">
        <v>22</v>
      </c>
    </row>
    <row r="867" spans="1:3" x14ac:dyDescent="0.2">
      <c r="A867" s="9">
        <v>865</v>
      </c>
      <c r="B867" s="9">
        <f t="shared" ca="1" si="13"/>
        <v>0.39388308467137034</v>
      </c>
      <c r="C867" s="9" t="s">
        <v>22</v>
      </c>
    </row>
    <row r="868" spans="1:3" x14ac:dyDescent="0.2">
      <c r="A868" s="9">
        <v>866</v>
      </c>
      <c r="B868" s="9">
        <f t="shared" ca="1" si="13"/>
        <v>0.49122785033356725</v>
      </c>
      <c r="C868" s="9" t="s">
        <v>22</v>
      </c>
    </row>
    <row r="869" spans="1:3" x14ac:dyDescent="0.2">
      <c r="A869" s="9">
        <v>867</v>
      </c>
      <c r="B869" s="9">
        <f t="shared" ca="1" si="13"/>
        <v>0.91767784569263688</v>
      </c>
      <c r="C869" s="9" t="s">
        <v>22</v>
      </c>
    </row>
    <row r="870" spans="1:3" x14ac:dyDescent="0.2">
      <c r="A870" s="9">
        <v>868</v>
      </c>
      <c r="B870" s="9">
        <f t="shared" ca="1" si="13"/>
        <v>0.45597032784527253</v>
      </c>
      <c r="C870" s="9" t="s">
        <v>22</v>
      </c>
    </row>
    <row r="871" spans="1:3" x14ac:dyDescent="0.2">
      <c r="A871" s="9">
        <v>869</v>
      </c>
      <c r="B871" s="9">
        <f t="shared" ca="1" si="13"/>
        <v>0.21038954991964937</v>
      </c>
      <c r="C871" s="9" t="s">
        <v>22</v>
      </c>
    </row>
    <row r="872" spans="1:3" x14ac:dyDescent="0.2">
      <c r="A872" s="9">
        <v>870</v>
      </c>
      <c r="B872" s="9">
        <f t="shared" ca="1" si="13"/>
        <v>0.59896468416573645</v>
      </c>
      <c r="C872" s="9" t="s">
        <v>22</v>
      </c>
    </row>
    <row r="873" spans="1:3" x14ac:dyDescent="0.2">
      <c r="A873" s="9">
        <v>871</v>
      </c>
      <c r="B873" s="9">
        <f t="shared" ca="1" si="13"/>
        <v>0.69771854196363781</v>
      </c>
      <c r="C873" s="9" t="s">
        <v>21</v>
      </c>
    </row>
    <row r="874" spans="1:3" x14ac:dyDescent="0.2">
      <c r="A874" s="9">
        <v>872</v>
      </c>
      <c r="B874" s="9">
        <f t="shared" ca="1" si="13"/>
        <v>0.82023962487469504</v>
      </c>
      <c r="C874" s="9" t="s">
        <v>21</v>
      </c>
    </row>
    <row r="875" spans="1:3" x14ac:dyDescent="0.2">
      <c r="A875" s="9">
        <v>873</v>
      </c>
      <c r="B875" s="9">
        <f t="shared" ca="1" si="13"/>
        <v>0.70661024119798921</v>
      </c>
      <c r="C875" s="9" t="s">
        <v>21</v>
      </c>
    </row>
    <row r="876" spans="1:3" x14ac:dyDescent="0.2">
      <c r="A876" s="9">
        <v>874</v>
      </c>
      <c r="B876" s="9">
        <f t="shared" ca="1" si="13"/>
        <v>0.62727125594112121</v>
      </c>
      <c r="C876" s="9" t="s">
        <v>22</v>
      </c>
    </row>
    <row r="877" spans="1:3" x14ac:dyDescent="0.2">
      <c r="A877" s="9">
        <v>875</v>
      </c>
      <c r="B877" s="9">
        <f t="shared" ca="1" si="13"/>
        <v>0.82188941135298743</v>
      </c>
      <c r="C877" s="9" t="s">
        <v>22</v>
      </c>
    </row>
    <row r="878" spans="1:3" x14ac:dyDescent="0.2">
      <c r="A878" s="9">
        <v>876</v>
      </c>
      <c r="B878" s="9">
        <f t="shared" ca="1" si="13"/>
        <v>0.72537684083548859</v>
      </c>
      <c r="C878" s="9" t="s">
        <v>21</v>
      </c>
    </row>
    <row r="879" spans="1:3" x14ac:dyDescent="0.2">
      <c r="A879" s="9">
        <v>877</v>
      </c>
      <c r="B879" s="9">
        <f t="shared" ca="1" si="13"/>
        <v>0.72549344849417552</v>
      </c>
      <c r="C879" s="9" t="s">
        <v>22</v>
      </c>
    </row>
    <row r="880" spans="1:3" x14ac:dyDescent="0.2">
      <c r="A880" s="9">
        <v>878</v>
      </c>
      <c r="B880" s="9">
        <f t="shared" ca="1" si="13"/>
        <v>0.60783062860373849</v>
      </c>
      <c r="C880" s="9" t="s">
        <v>22</v>
      </c>
    </row>
    <row r="881" spans="1:3" x14ac:dyDescent="0.2">
      <c r="A881" s="9">
        <v>879</v>
      </c>
      <c r="B881" s="9">
        <f t="shared" ca="1" si="13"/>
        <v>0.63554683263959411</v>
      </c>
      <c r="C881" s="9" t="s">
        <v>21</v>
      </c>
    </row>
    <row r="882" spans="1:3" x14ac:dyDescent="0.2">
      <c r="A882" s="9">
        <v>880</v>
      </c>
      <c r="B882" s="9">
        <f t="shared" ca="1" si="13"/>
        <v>0.65283033788349609</v>
      </c>
      <c r="C882" s="9" t="s">
        <v>21</v>
      </c>
    </row>
    <row r="883" spans="1:3" x14ac:dyDescent="0.2">
      <c r="A883" s="9">
        <v>881</v>
      </c>
      <c r="B883" s="9">
        <f t="shared" ca="1" si="13"/>
        <v>0.67518443736360356</v>
      </c>
      <c r="C883" s="9" t="s">
        <v>21</v>
      </c>
    </row>
    <row r="884" spans="1:3" x14ac:dyDescent="0.2">
      <c r="A884" s="9">
        <v>882</v>
      </c>
      <c r="B884" s="9">
        <f t="shared" ca="1" si="13"/>
        <v>0.62042664357014354</v>
      </c>
      <c r="C884" s="9" t="s">
        <v>21</v>
      </c>
    </row>
    <row r="885" spans="1:3" x14ac:dyDescent="0.2">
      <c r="A885" s="9">
        <v>883</v>
      </c>
      <c r="B885" s="9">
        <f t="shared" ca="1" si="13"/>
        <v>0.70881387118226491</v>
      </c>
      <c r="C885" s="9" t="s">
        <v>22</v>
      </c>
    </row>
    <row r="886" spans="1:3" x14ac:dyDescent="0.2">
      <c r="A886" s="9">
        <v>884</v>
      </c>
      <c r="B886" s="9">
        <f t="shared" ca="1" si="13"/>
        <v>0.46103849699306448</v>
      </c>
      <c r="C886" s="9" t="s">
        <v>22</v>
      </c>
    </row>
    <row r="887" spans="1:3" x14ac:dyDescent="0.2">
      <c r="A887" s="9">
        <v>885</v>
      </c>
      <c r="B887" s="9">
        <f t="shared" ca="1" si="13"/>
        <v>0.70661775417048878</v>
      </c>
      <c r="C887" s="9" t="s">
        <v>22</v>
      </c>
    </row>
    <row r="888" spans="1:3" x14ac:dyDescent="0.2">
      <c r="A888" s="9">
        <v>886</v>
      </c>
      <c r="B888" s="9">
        <f t="shared" ca="1" si="13"/>
        <v>0.56144222508397157</v>
      </c>
      <c r="C888" s="9" t="s">
        <v>21</v>
      </c>
    </row>
    <row r="889" spans="1:3" x14ac:dyDescent="0.2">
      <c r="A889" s="9">
        <v>887</v>
      </c>
      <c r="B889" s="9">
        <f t="shared" ca="1" si="13"/>
        <v>0.70189676294534542</v>
      </c>
      <c r="C889" s="9" t="s">
        <v>21</v>
      </c>
    </row>
    <row r="890" spans="1:3" x14ac:dyDescent="0.2">
      <c r="A890" s="9">
        <v>888</v>
      </c>
      <c r="B890" s="9">
        <f t="shared" ca="1" si="13"/>
        <v>0.60054384831994378</v>
      </c>
      <c r="C890" s="9" t="s">
        <v>21</v>
      </c>
    </row>
    <row r="891" spans="1:3" x14ac:dyDescent="0.2">
      <c r="A891" s="9">
        <v>889</v>
      </c>
      <c r="B891" s="9">
        <f t="shared" ca="1" si="13"/>
        <v>0.59235615244316842</v>
      </c>
      <c r="C891" s="9" t="s">
        <v>22</v>
      </c>
    </row>
    <row r="892" spans="1:3" x14ac:dyDescent="0.2">
      <c r="A892" s="9">
        <v>890</v>
      </c>
      <c r="B892" s="9">
        <f t="shared" ca="1" si="13"/>
        <v>0.70437408605686269</v>
      </c>
      <c r="C892" s="9" t="s">
        <v>22</v>
      </c>
    </row>
    <row r="893" spans="1:3" x14ac:dyDescent="0.2">
      <c r="A893" s="9">
        <v>891</v>
      </c>
      <c r="B893" s="9">
        <f t="shared" ca="1" si="13"/>
        <v>0.65854962646835813</v>
      </c>
      <c r="C893" s="9" t="s">
        <v>22</v>
      </c>
    </row>
    <row r="894" spans="1:3" x14ac:dyDescent="0.2">
      <c r="A894" s="9">
        <v>892</v>
      </c>
      <c r="B894" s="9">
        <f t="shared" ca="1" si="13"/>
        <v>0.72162196715609794</v>
      </c>
      <c r="C894" s="9" t="s">
        <v>21</v>
      </c>
    </row>
    <row r="895" spans="1:3" x14ac:dyDescent="0.2">
      <c r="A895" s="9">
        <v>893</v>
      </c>
      <c r="B895" s="9">
        <f t="shared" ca="1" si="13"/>
        <v>0.57350777376864104</v>
      </c>
      <c r="C895" s="9" t="s">
        <v>22</v>
      </c>
    </row>
    <row r="896" spans="1:3" x14ac:dyDescent="0.2">
      <c r="A896" s="9">
        <v>894</v>
      </c>
      <c r="B896" s="9">
        <f t="shared" ca="1" si="13"/>
        <v>0.63942938797219662</v>
      </c>
      <c r="C896" s="9" t="s">
        <v>21</v>
      </c>
    </row>
    <row r="897" spans="1:3" x14ac:dyDescent="0.2">
      <c r="A897" s="9">
        <v>895</v>
      </c>
      <c r="B897" s="9">
        <f t="shared" ca="1" si="13"/>
        <v>0.57705268156821432</v>
      </c>
      <c r="C897" s="9" t="s">
        <v>22</v>
      </c>
    </row>
    <row r="898" spans="1:3" x14ac:dyDescent="0.2">
      <c r="A898" s="9">
        <v>896</v>
      </c>
      <c r="B898" s="9">
        <f t="shared" ca="1" si="13"/>
        <v>0.69089794788060055</v>
      </c>
      <c r="C898" s="9" t="s">
        <v>21</v>
      </c>
    </row>
    <row r="899" spans="1:3" x14ac:dyDescent="0.2">
      <c r="A899" s="9">
        <v>897</v>
      </c>
      <c r="B899" s="9">
        <f t="shared" ca="1" si="13"/>
        <v>0.88624377972613722</v>
      </c>
      <c r="C899" s="9" t="s">
        <v>21</v>
      </c>
    </row>
    <row r="900" spans="1:3" x14ac:dyDescent="0.2">
      <c r="A900" s="9">
        <v>898</v>
      </c>
      <c r="B900" s="9">
        <f t="shared" ref="B900:B963" ca="1" si="14">IF(C900="Bomb",_xlfn.NORM.INV(RAND(),0.7,0.1),_xlfn.NORM.INV(RAND(),0.6,0.15))</f>
        <v>0.72620858100589425</v>
      </c>
      <c r="C900" s="9" t="s">
        <v>21</v>
      </c>
    </row>
    <row r="901" spans="1:3" x14ac:dyDescent="0.2">
      <c r="A901" s="9">
        <v>899</v>
      </c>
      <c r="B901" s="9">
        <f t="shared" ca="1" si="14"/>
        <v>0.70711114417163301</v>
      </c>
      <c r="C901" s="9" t="s">
        <v>22</v>
      </c>
    </row>
    <row r="902" spans="1:3" x14ac:dyDescent="0.2">
      <c r="A902" s="9">
        <v>900</v>
      </c>
      <c r="B902" s="9">
        <f t="shared" ca="1" si="14"/>
        <v>0.5951529077475517</v>
      </c>
      <c r="C902" s="9" t="s">
        <v>21</v>
      </c>
    </row>
    <row r="903" spans="1:3" x14ac:dyDescent="0.2">
      <c r="A903" s="9">
        <v>901</v>
      </c>
      <c r="B903" s="9">
        <f t="shared" ca="1" si="14"/>
        <v>0.90273422076892573</v>
      </c>
      <c r="C903" s="9" t="s">
        <v>21</v>
      </c>
    </row>
    <row r="904" spans="1:3" x14ac:dyDescent="0.2">
      <c r="A904" s="9">
        <v>902</v>
      </c>
      <c r="B904" s="9">
        <f t="shared" ca="1" si="14"/>
        <v>0.62092632072559906</v>
      </c>
      <c r="C904" s="9" t="s">
        <v>21</v>
      </c>
    </row>
    <row r="905" spans="1:3" x14ac:dyDescent="0.2">
      <c r="A905" s="9">
        <v>903</v>
      </c>
      <c r="B905" s="9">
        <f t="shared" ca="1" si="14"/>
        <v>0.70085788462787324</v>
      </c>
      <c r="C905" s="9" t="s">
        <v>21</v>
      </c>
    </row>
    <row r="906" spans="1:3" x14ac:dyDescent="0.2">
      <c r="A906" s="9">
        <v>904</v>
      </c>
      <c r="B906" s="9">
        <f t="shared" ca="1" si="14"/>
        <v>0.86234758691574898</v>
      </c>
      <c r="C906" s="9" t="s">
        <v>21</v>
      </c>
    </row>
    <row r="907" spans="1:3" x14ac:dyDescent="0.2">
      <c r="A907" s="9">
        <v>905</v>
      </c>
      <c r="B907" s="9">
        <f t="shared" ca="1" si="14"/>
        <v>0.76602778276034222</v>
      </c>
      <c r="C907" s="9" t="s">
        <v>22</v>
      </c>
    </row>
    <row r="908" spans="1:3" x14ac:dyDescent="0.2">
      <c r="A908" s="9">
        <v>906</v>
      </c>
      <c r="B908" s="9">
        <f t="shared" ca="1" si="14"/>
        <v>0.90375453564234465</v>
      </c>
      <c r="C908" s="9" t="s">
        <v>22</v>
      </c>
    </row>
    <row r="909" spans="1:3" x14ac:dyDescent="0.2">
      <c r="A909" s="9">
        <v>907</v>
      </c>
      <c r="B909" s="9">
        <f t="shared" ca="1" si="14"/>
        <v>0.81128385522051827</v>
      </c>
      <c r="C909" s="9" t="s">
        <v>22</v>
      </c>
    </row>
    <row r="910" spans="1:3" x14ac:dyDescent="0.2">
      <c r="A910" s="9">
        <v>908</v>
      </c>
      <c r="B910" s="9">
        <f t="shared" ca="1" si="14"/>
        <v>0.60173439755079128</v>
      </c>
      <c r="C910" s="9" t="s">
        <v>22</v>
      </c>
    </row>
    <row r="911" spans="1:3" x14ac:dyDescent="0.2">
      <c r="A911" s="9">
        <v>909</v>
      </c>
      <c r="B911" s="9">
        <f t="shared" ca="1" si="14"/>
        <v>0.73173273068506173</v>
      </c>
      <c r="C911" s="9" t="s">
        <v>22</v>
      </c>
    </row>
    <row r="912" spans="1:3" x14ac:dyDescent="0.2">
      <c r="A912" s="9">
        <v>910</v>
      </c>
      <c r="B912" s="9">
        <f t="shared" ca="1" si="14"/>
        <v>0.83038811340458374</v>
      </c>
      <c r="C912" s="9" t="s">
        <v>21</v>
      </c>
    </row>
    <row r="913" spans="1:3" x14ac:dyDescent="0.2">
      <c r="A913" s="9">
        <v>911</v>
      </c>
      <c r="B913" s="9">
        <f t="shared" ca="1" si="14"/>
        <v>0.56994375329499269</v>
      </c>
      <c r="C913" s="9" t="s">
        <v>22</v>
      </c>
    </row>
    <row r="914" spans="1:3" x14ac:dyDescent="0.2">
      <c r="A914" s="9">
        <v>912</v>
      </c>
      <c r="B914" s="9">
        <f t="shared" ca="1" si="14"/>
        <v>0.38537961299321954</v>
      </c>
      <c r="C914" s="9" t="s">
        <v>22</v>
      </c>
    </row>
    <row r="915" spans="1:3" x14ac:dyDescent="0.2">
      <c r="A915" s="9">
        <v>913</v>
      </c>
      <c r="B915" s="9">
        <f t="shared" ca="1" si="14"/>
        <v>0.52604680830658013</v>
      </c>
      <c r="C915" s="9" t="s">
        <v>22</v>
      </c>
    </row>
    <row r="916" spans="1:3" x14ac:dyDescent="0.2">
      <c r="A916" s="9">
        <v>914</v>
      </c>
      <c r="B916" s="9">
        <f t="shared" ca="1" si="14"/>
        <v>0.74843001278414778</v>
      </c>
      <c r="C916" s="9" t="s">
        <v>21</v>
      </c>
    </row>
    <row r="917" spans="1:3" x14ac:dyDescent="0.2">
      <c r="A917" s="9">
        <v>915</v>
      </c>
      <c r="B917" s="9">
        <f t="shared" ca="1" si="14"/>
        <v>0.59049503506325596</v>
      </c>
      <c r="C917" s="9" t="s">
        <v>22</v>
      </c>
    </row>
    <row r="918" spans="1:3" x14ac:dyDescent="0.2">
      <c r="A918" s="9">
        <v>916</v>
      </c>
      <c r="B918" s="9">
        <f t="shared" ca="1" si="14"/>
        <v>0.69509704284959295</v>
      </c>
      <c r="C918" s="9" t="s">
        <v>21</v>
      </c>
    </row>
    <row r="919" spans="1:3" x14ac:dyDescent="0.2">
      <c r="A919" s="9">
        <v>917</v>
      </c>
      <c r="B919" s="9">
        <f t="shared" ca="1" si="14"/>
        <v>0.31416119015026661</v>
      </c>
      <c r="C919" s="9" t="s">
        <v>22</v>
      </c>
    </row>
    <row r="920" spans="1:3" x14ac:dyDescent="0.2">
      <c r="A920" s="9">
        <v>918</v>
      </c>
      <c r="B920" s="9">
        <f t="shared" ca="1" si="14"/>
        <v>0.68786431114148416</v>
      </c>
      <c r="C920" s="9" t="s">
        <v>21</v>
      </c>
    </row>
    <row r="921" spans="1:3" x14ac:dyDescent="0.2">
      <c r="A921" s="9">
        <v>919</v>
      </c>
      <c r="B921" s="9">
        <f t="shared" ca="1" si="14"/>
        <v>0.56622591235186204</v>
      </c>
      <c r="C921" s="9" t="s">
        <v>22</v>
      </c>
    </row>
    <row r="922" spans="1:3" x14ac:dyDescent="0.2">
      <c r="A922" s="9">
        <v>920</v>
      </c>
      <c r="B922" s="9">
        <f t="shared" ca="1" si="14"/>
        <v>0.60600327021770162</v>
      </c>
      <c r="C922" s="9" t="s">
        <v>21</v>
      </c>
    </row>
    <row r="923" spans="1:3" x14ac:dyDescent="0.2">
      <c r="A923" s="9">
        <v>921</v>
      </c>
      <c r="B923" s="9">
        <f t="shared" ca="1" si="14"/>
        <v>0.76300439119387176</v>
      </c>
      <c r="C923" s="9" t="s">
        <v>21</v>
      </c>
    </row>
    <row r="924" spans="1:3" x14ac:dyDescent="0.2">
      <c r="A924" s="9">
        <v>922</v>
      </c>
      <c r="B924" s="9">
        <f t="shared" ca="1" si="14"/>
        <v>0.55071645006995285</v>
      </c>
      <c r="C924" s="9" t="s">
        <v>22</v>
      </c>
    </row>
    <row r="925" spans="1:3" x14ac:dyDescent="0.2">
      <c r="A925" s="9">
        <v>923</v>
      </c>
      <c r="B925" s="9">
        <f t="shared" ca="1" si="14"/>
        <v>0.69313987220065076</v>
      </c>
      <c r="C925" s="9" t="s">
        <v>22</v>
      </c>
    </row>
    <row r="926" spans="1:3" x14ac:dyDescent="0.2">
      <c r="A926" s="9">
        <v>924</v>
      </c>
      <c r="B926" s="9">
        <f t="shared" ca="1" si="14"/>
        <v>0.78962021246298664</v>
      </c>
      <c r="C926" s="9" t="s">
        <v>22</v>
      </c>
    </row>
    <row r="927" spans="1:3" x14ac:dyDescent="0.2">
      <c r="A927" s="9">
        <v>925</v>
      </c>
      <c r="B927" s="9">
        <f t="shared" ca="1" si="14"/>
        <v>0.68754695568000923</v>
      </c>
      <c r="C927" s="9" t="s">
        <v>21</v>
      </c>
    </row>
    <row r="928" spans="1:3" x14ac:dyDescent="0.2">
      <c r="A928" s="9">
        <v>926</v>
      </c>
      <c r="B928" s="9">
        <f t="shared" ca="1" si="14"/>
        <v>0.62180089680125328</v>
      </c>
      <c r="C928" s="9" t="s">
        <v>21</v>
      </c>
    </row>
    <row r="929" spans="1:3" x14ac:dyDescent="0.2">
      <c r="A929" s="9">
        <v>927</v>
      </c>
      <c r="B929" s="9">
        <f t="shared" ca="1" si="14"/>
        <v>0.63526758321283705</v>
      </c>
      <c r="C929" s="9" t="s">
        <v>21</v>
      </c>
    </row>
    <row r="930" spans="1:3" x14ac:dyDescent="0.2">
      <c r="A930" s="9">
        <v>928</v>
      </c>
      <c r="B930" s="9">
        <f t="shared" ca="1" si="14"/>
        <v>0.83349275283963864</v>
      </c>
      <c r="C930" s="9" t="s">
        <v>21</v>
      </c>
    </row>
    <row r="931" spans="1:3" x14ac:dyDescent="0.2">
      <c r="A931" s="9">
        <v>929</v>
      </c>
      <c r="B931" s="9">
        <f t="shared" ca="1" si="14"/>
        <v>0.67660142252398336</v>
      </c>
      <c r="C931" s="9" t="s">
        <v>21</v>
      </c>
    </row>
    <row r="932" spans="1:3" x14ac:dyDescent="0.2">
      <c r="A932" s="9">
        <v>930</v>
      </c>
      <c r="B932" s="9">
        <f t="shared" ca="1" si="14"/>
        <v>0.71398588109591887</v>
      </c>
      <c r="C932" s="9" t="s">
        <v>21</v>
      </c>
    </row>
    <row r="933" spans="1:3" x14ac:dyDescent="0.2">
      <c r="A933" s="9">
        <v>931</v>
      </c>
      <c r="B933" s="9">
        <f t="shared" ca="1" si="14"/>
        <v>0.45498607939378843</v>
      </c>
      <c r="C933" s="9" t="s">
        <v>22</v>
      </c>
    </row>
    <row r="934" spans="1:3" x14ac:dyDescent="0.2">
      <c r="A934" s="9">
        <v>932</v>
      </c>
      <c r="B934" s="9">
        <f t="shared" ca="1" si="14"/>
        <v>0.70815104165785192</v>
      </c>
      <c r="C934" s="9" t="s">
        <v>21</v>
      </c>
    </row>
    <row r="935" spans="1:3" x14ac:dyDescent="0.2">
      <c r="A935" s="9">
        <v>933</v>
      </c>
      <c r="B935" s="9">
        <f t="shared" ca="1" si="14"/>
        <v>0.63349336793320843</v>
      </c>
      <c r="C935" s="9" t="s">
        <v>22</v>
      </c>
    </row>
    <row r="936" spans="1:3" x14ac:dyDescent="0.2">
      <c r="A936" s="9">
        <v>934</v>
      </c>
      <c r="B936" s="9">
        <f t="shared" ca="1" si="14"/>
        <v>0.56672547217619251</v>
      </c>
      <c r="C936" s="9" t="s">
        <v>21</v>
      </c>
    </row>
    <row r="937" spans="1:3" x14ac:dyDescent="0.2">
      <c r="A937" s="9">
        <v>935</v>
      </c>
      <c r="B937" s="9">
        <f t="shared" ca="1" si="14"/>
        <v>0.69106577739224928</v>
      </c>
      <c r="C937" s="9" t="s">
        <v>21</v>
      </c>
    </row>
    <row r="938" spans="1:3" x14ac:dyDescent="0.2">
      <c r="A938" s="9">
        <v>936</v>
      </c>
      <c r="B938" s="9">
        <f t="shared" ca="1" si="14"/>
        <v>0.15758424476578908</v>
      </c>
      <c r="C938" s="9" t="s">
        <v>22</v>
      </c>
    </row>
    <row r="939" spans="1:3" x14ac:dyDescent="0.2">
      <c r="A939" s="9">
        <v>937</v>
      </c>
      <c r="B939" s="9">
        <f t="shared" ca="1" si="14"/>
        <v>0.53307840835697728</v>
      </c>
      <c r="C939" s="9" t="s">
        <v>22</v>
      </c>
    </row>
    <row r="940" spans="1:3" x14ac:dyDescent="0.2">
      <c r="A940" s="9">
        <v>938</v>
      </c>
      <c r="B940" s="9">
        <f t="shared" ca="1" si="14"/>
        <v>0.72613132507371958</v>
      </c>
      <c r="C940" s="9" t="s">
        <v>21</v>
      </c>
    </row>
    <row r="941" spans="1:3" x14ac:dyDescent="0.2">
      <c r="A941" s="9">
        <v>939</v>
      </c>
      <c r="B941" s="9">
        <f t="shared" ca="1" si="14"/>
        <v>0.75681268145345137</v>
      </c>
      <c r="C941" s="9" t="s">
        <v>21</v>
      </c>
    </row>
    <row r="942" spans="1:3" x14ac:dyDescent="0.2">
      <c r="A942" s="9">
        <v>940</v>
      </c>
      <c r="B942" s="9">
        <f t="shared" ca="1" si="14"/>
        <v>0.66487312968628764</v>
      </c>
      <c r="C942" s="9" t="s">
        <v>22</v>
      </c>
    </row>
    <row r="943" spans="1:3" x14ac:dyDescent="0.2">
      <c r="A943" s="9">
        <v>941</v>
      </c>
      <c r="B943" s="9">
        <f t="shared" ca="1" si="14"/>
        <v>0.65992794550245482</v>
      </c>
      <c r="C943" s="9" t="s">
        <v>22</v>
      </c>
    </row>
    <row r="944" spans="1:3" x14ac:dyDescent="0.2">
      <c r="A944" s="9">
        <v>942</v>
      </c>
      <c r="B944" s="9">
        <f t="shared" ca="1" si="14"/>
        <v>0.64304434465289684</v>
      </c>
      <c r="C944" s="9" t="s">
        <v>22</v>
      </c>
    </row>
    <row r="945" spans="1:3" x14ac:dyDescent="0.2">
      <c r="A945" s="9">
        <v>943</v>
      </c>
      <c r="B945" s="9">
        <f t="shared" ca="1" si="14"/>
        <v>1.0840898386897087</v>
      </c>
      <c r="C945" s="9" t="s">
        <v>22</v>
      </c>
    </row>
    <row r="946" spans="1:3" x14ac:dyDescent="0.2">
      <c r="A946" s="9">
        <v>944</v>
      </c>
      <c r="B946" s="9">
        <f t="shared" ca="1" si="14"/>
        <v>0.75612338705971438</v>
      </c>
      <c r="C946" s="9" t="s">
        <v>22</v>
      </c>
    </row>
    <row r="947" spans="1:3" x14ac:dyDescent="0.2">
      <c r="A947" s="9">
        <v>945</v>
      </c>
      <c r="B947" s="9">
        <f t="shared" ca="1" si="14"/>
        <v>0.65198824867423688</v>
      </c>
      <c r="C947" s="9" t="s">
        <v>21</v>
      </c>
    </row>
    <row r="948" spans="1:3" x14ac:dyDescent="0.2">
      <c r="A948" s="9">
        <v>946</v>
      </c>
      <c r="B948" s="9">
        <f t="shared" ca="1" si="14"/>
        <v>0.26888943565384499</v>
      </c>
      <c r="C948" s="9" t="s">
        <v>22</v>
      </c>
    </row>
    <row r="949" spans="1:3" x14ac:dyDescent="0.2">
      <c r="A949" s="9">
        <v>947</v>
      </c>
      <c r="B949" s="9">
        <f t="shared" ca="1" si="14"/>
        <v>0.63043066379606449</v>
      </c>
      <c r="C949" s="9" t="s">
        <v>21</v>
      </c>
    </row>
    <row r="950" spans="1:3" x14ac:dyDescent="0.2">
      <c r="A950" s="9">
        <v>948</v>
      </c>
      <c r="B950" s="9">
        <f t="shared" ca="1" si="14"/>
        <v>0.76596038545421286</v>
      </c>
      <c r="C950" s="9" t="s">
        <v>22</v>
      </c>
    </row>
    <row r="951" spans="1:3" x14ac:dyDescent="0.2">
      <c r="A951" s="9">
        <v>949</v>
      </c>
      <c r="B951" s="9">
        <f t="shared" ca="1" si="14"/>
        <v>0.66505297621585324</v>
      </c>
      <c r="C951" s="9" t="s">
        <v>21</v>
      </c>
    </row>
    <row r="952" spans="1:3" x14ac:dyDescent="0.2">
      <c r="A952" s="9">
        <v>950</v>
      </c>
      <c r="B952" s="9">
        <f t="shared" ca="1" si="14"/>
        <v>0.79981100592124565</v>
      </c>
      <c r="C952" s="9" t="s">
        <v>21</v>
      </c>
    </row>
    <row r="953" spans="1:3" x14ac:dyDescent="0.2">
      <c r="A953" s="9">
        <v>951</v>
      </c>
      <c r="B953" s="9">
        <f t="shared" ca="1" si="14"/>
        <v>0.79160069488114559</v>
      </c>
      <c r="C953" s="9" t="s">
        <v>22</v>
      </c>
    </row>
    <row r="954" spans="1:3" x14ac:dyDescent="0.2">
      <c r="A954" s="9">
        <v>952</v>
      </c>
      <c r="B954" s="9">
        <f t="shared" ca="1" si="14"/>
        <v>0.47598857373326336</v>
      </c>
      <c r="C954" s="9" t="s">
        <v>22</v>
      </c>
    </row>
    <row r="955" spans="1:3" x14ac:dyDescent="0.2">
      <c r="A955" s="9">
        <v>953</v>
      </c>
      <c r="B955" s="9">
        <f t="shared" ca="1" si="14"/>
        <v>0.74648831864813603</v>
      </c>
      <c r="C955" s="9" t="s">
        <v>21</v>
      </c>
    </row>
    <row r="956" spans="1:3" x14ac:dyDescent="0.2">
      <c r="A956" s="9">
        <v>954</v>
      </c>
      <c r="B956" s="9">
        <f t="shared" ca="1" si="14"/>
        <v>0.39122785180808239</v>
      </c>
      <c r="C956" s="9" t="s">
        <v>22</v>
      </c>
    </row>
    <row r="957" spans="1:3" x14ac:dyDescent="0.2">
      <c r="A957" s="9">
        <v>955</v>
      </c>
      <c r="B957" s="9">
        <f t="shared" ca="1" si="14"/>
        <v>0.61729012261617933</v>
      </c>
      <c r="C957" s="9" t="s">
        <v>21</v>
      </c>
    </row>
    <row r="958" spans="1:3" x14ac:dyDescent="0.2">
      <c r="A958" s="9">
        <v>956</v>
      </c>
      <c r="B958" s="9">
        <f t="shared" ca="1" si="14"/>
        <v>0.69567574909939134</v>
      </c>
      <c r="C958" s="9" t="s">
        <v>21</v>
      </c>
    </row>
    <row r="959" spans="1:3" x14ac:dyDescent="0.2">
      <c r="A959" s="9">
        <v>957</v>
      </c>
      <c r="B959" s="9">
        <f t="shared" ca="1" si="14"/>
        <v>0.69323351550794765</v>
      </c>
      <c r="C959" s="9" t="s">
        <v>22</v>
      </c>
    </row>
    <row r="960" spans="1:3" x14ac:dyDescent="0.2">
      <c r="A960" s="9">
        <v>958</v>
      </c>
      <c r="B960" s="9">
        <f t="shared" ca="1" si="14"/>
        <v>0.67297988117826713</v>
      </c>
      <c r="C960" s="9" t="s">
        <v>21</v>
      </c>
    </row>
    <row r="961" spans="1:3" x14ac:dyDescent="0.2">
      <c r="A961" s="9">
        <v>959</v>
      </c>
      <c r="B961" s="9">
        <f t="shared" ca="1" si="14"/>
        <v>0.49121998252095472</v>
      </c>
      <c r="C961" s="9" t="s">
        <v>22</v>
      </c>
    </row>
    <row r="962" spans="1:3" x14ac:dyDescent="0.2">
      <c r="A962" s="9">
        <v>960</v>
      </c>
      <c r="B962" s="9">
        <f t="shared" ca="1" si="14"/>
        <v>0.56525959971050799</v>
      </c>
      <c r="C962" s="9" t="s">
        <v>22</v>
      </c>
    </row>
    <row r="963" spans="1:3" x14ac:dyDescent="0.2">
      <c r="A963" s="9">
        <v>961</v>
      </c>
      <c r="B963" s="9">
        <f t="shared" ca="1" si="14"/>
        <v>0.75937555196482176</v>
      </c>
      <c r="C963" s="9" t="s">
        <v>21</v>
      </c>
    </row>
    <row r="964" spans="1:3" x14ac:dyDescent="0.2">
      <c r="A964" s="9">
        <v>962</v>
      </c>
      <c r="B964" s="9">
        <f t="shared" ref="B964:B1002" ca="1" si="15">IF(C964="Bomb",_xlfn.NORM.INV(RAND(),0.7,0.1),_xlfn.NORM.INV(RAND(),0.6,0.15))</f>
        <v>0.6620254017991678</v>
      </c>
      <c r="C964" s="9" t="s">
        <v>21</v>
      </c>
    </row>
    <row r="965" spans="1:3" x14ac:dyDescent="0.2">
      <c r="A965" s="9">
        <v>963</v>
      </c>
      <c r="B965" s="9">
        <f t="shared" ca="1" si="15"/>
        <v>0.82118626942736472</v>
      </c>
      <c r="C965" s="9" t="s">
        <v>21</v>
      </c>
    </row>
    <row r="966" spans="1:3" x14ac:dyDescent="0.2">
      <c r="A966" s="9">
        <v>964</v>
      </c>
      <c r="B966" s="9">
        <f t="shared" ca="1" si="15"/>
        <v>0.6610979304928184</v>
      </c>
      <c r="C966" s="9" t="s">
        <v>21</v>
      </c>
    </row>
    <row r="967" spans="1:3" x14ac:dyDescent="0.2">
      <c r="A967" s="9">
        <v>965</v>
      </c>
      <c r="B967" s="9">
        <f t="shared" ca="1" si="15"/>
        <v>0.66764798036867246</v>
      </c>
      <c r="C967" s="9" t="s">
        <v>21</v>
      </c>
    </row>
    <row r="968" spans="1:3" x14ac:dyDescent="0.2">
      <c r="A968" s="9">
        <v>966</v>
      </c>
      <c r="B968" s="9">
        <f t="shared" ca="1" si="15"/>
        <v>0.72007060944481205</v>
      </c>
      <c r="C968" s="9" t="s">
        <v>21</v>
      </c>
    </row>
    <row r="969" spans="1:3" x14ac:dyDescent="0.2">
      <c r="A969" s="9">
        <v>967</v>
      </c>
      <c r="B969" s="9">
        <f t="shared" ca="1" si="15"/>
        <v>0.77633004148288176</v>
      </c>
      <c r="C969" s="9" t="s">
        <v>21</v>
      </c>
    </row>
    <row r="970" spans="1:3" x14ac:dyDescent="0.2">
      <c r="A970" s="9">
        <v>968</v>
      </c>
      <c r="B970" s="9">
        <f t="shared" ca="1" si="15"/>
        <v>0.72513833028325303</v>
      </c>
      <c r="C970" s="9" t="s">
        <v>21</v>
      </c>
    </row>
    <row r="971" spans="1:3" x14ac:dyDescent="0.2">
      <c r="A971" s="9">
        <v>969</v>
      </c>
      <c r="B971" s="9">
        <f t="shared" ca="1" si="15"/>
        <v>0.65969557158911918</v>
      </c>
      <c r="C971" s="9" t="s">
        <v>22</v>
      </c>
    </row>
    <row r="972" spans="1:3" x14ac:dyDescent="0.2">
      <c r="A972" s="9">
        <v>970</v>
      </c>
      <c r="B972" s="9">
        <f t="shared" ca="1" si="15"/>
        <v>0.41359509436165576</v>
      </c>
      <c r="C972" s="9" t="s">
        <v>22</v>
      </c>
    </row>
    <row r="973" spans="1:3" x14ac:dyDescent="0.2">
      <c r="A973" s="9">
        <v>971</v>
      </c>
      <c r="B973" s="9">
        <f t="shared" ca="1" si="15"/>
        <v>0.79793628840640385</v>
      </c>
      <c r="C973" s="9" t="s">
        <v>21</v>
      </c>
    </row>
    <row r="974" spans="1:3" x14ac:dyDescent="0.2">
      <c r="A974" s="9">
        <v>972</v>
      </c>
      <c r="B974" s="9">
        <f t="shared" ca="1" si="15"/>
        <v>0.52164001802637094</v>
      </c>
      <c r="C974" s="9" t="s">
        <v>22</v>
      </c>
    </row>
    <row r="975" spans="1:3" x14ac:dyDescent="0.2">
      <c r="A975" s="9">
        <v>973</v>
      </c>
      <c r="B975" s="9">
        <f t="shared" ca="1" si="15"/>
        <v>0.61009294822726701</v>
      </c>
      <c r="C975" s="9" t="s">
        <v>21</v>
      </c>
    </row>
    <row r="976" spans="1:3" x14ac:dyDescent="0.2">
      <c r="A976" s="9">
        <v>974</v>
      </c>
      <c r="B976" s="9">
        <f t="shared" ca="1" si="15"/>
        <v>0.43868403765713221</v>
      </c>
      <c r="C976" s="9" t="s">
        <v>21</v>
      </c>
    </row>
    <row r="977" spans="1:3" x14ac:dyDescent="0.2">
      <c r="A977" s="9">
        <v>975</v>
      </c>
      <c r="B977" s="9">
        <f t="shared" ca="1" si="15"/>
        <v>0.72511946309598208</v>
      </c>
      <c r="C977" s="9" t="s">
        <v>21</v>
      </c>
    </row>
    <row r="978" spans="1:3" x14ac:dyDescent="0.2">
      <c r="A978" s="9">
        <v>976</v>
      </c>
      <c r="B978" s="9">
        <f t="shared" ca="1" si="15"/>
        <v>0.54735560952830742</v>
      </c>
      <c r="C978" s="9" t="s">
        <v>21</v>
      </c>
    </row>
    <row r="979" spans="1:3" x14ac:dyDescent="0.2">
      <c r="A979" s="9">
        <v>977</v>
      </c>
      <c r="B979" s="9">
        <f t="shared" ca="1" si="15"/>
        <v>0.73928507376748664</v>
      </c>
      <c r="C979" s="9" t="s">
        <v>21</v>
      </c>
    </row>
    <row r="980" spans="1:3" x14ac:dyDescent="0.2">
      <c r="A980" s="9">
        <v>978</v>
      </c>
      <c r="B980" s="9">
        <f t="shared" ca="1" si="15"/>
        <v>0.64389362587546117</v>
      </c>
      <c r="C980" s="9" t="s">
        <v>21</v>
      </c>
    </row>
    <row r="981" spans="1:3" x14ac:dyDescent="0.2">
      <c r="A981" s="9">
        <v>979</v>
      </c>
      <c r="B981" s="9">
        <f t="shared" ca="1" si="15"/>
        <v>0.70789038440256546</v>
      </c>
      <c r="C981" s="9" t="s">
        <v>21</v>
      </c>
    </row>
    <row r="982" spans="1:3" x14ac:dyDescent="0.2">
      <c r="A982" s="9">
        <v>980</v>
      </c>
      <c r="B982" s="9">
        <f t="shared" ca="1" si="15"/>
        <v>0.57052390943694453</v>
      </c>
      <c r="C982" s="9" t="s">
        <v>22</v>
      </c>
    </row>
    <row r="983" spans="1:3" x14ac:dyDescent="0.2">
      <c r="A983" s="9">
        <v>981</v>
      </c>
      <c r="B983" s="9">
        <f t="shared" ca="1" si="15"/>
        <v>0.55789194486831239</v>
      </c>
      <c r="C983" s="9" t="s">
        <v>22</v>
      </c>
    </row>
    <row r="984" spans="1:3" x14ac:dyDescent="0.2">
      <c r="A984" s="9">
        <v>982</v>
      </c>
      <c r="B984" s="9">
        <f t="shared" ca="1" si="15"/>
        <v>0.85737195422174239</v>
      </c>
      <c r="C984" s="9" t="s">
        <v>21</v>
      </c>
    </row>
    <row r="985" spans="1:3" x14ac:dyDescent="0.2">
      <c r="A985" s="9">
        <v>983</v>
      </c>
      <c r="B985" s="9">
        <f t="shared" ca="1" si="15"/>
        <v>0.72601536529217192</v>
      </c>
      <c r="C985" s="9" t="s">
        <v>21</v>
      </c>
    </row>
    <row r="986" spans="1:3" x14ac:dyDescent="0.2">
      <c r="A986" s="9">
        <v>984</v>
      </c>
      <c r="B986" s="9">
        <f t="shared" ca="1" si="15"/>
        <v>0.66633449677989787</v>
      </c>
      <c r="C986" s="9" t="s">
        <v>22</v>
      </c>
    </row>
    <row r="987" spans="1:3" x14ac:dyDescent="0.2">
      <c r="A987" s="9">
        <v>985</v>
      </c>
      <c r="B987" s="9">
        <f t="shared" ca="1" si="15"/>
        <v>0.43659785941893658</v>
      </c>
      <c r="C987" s="9" t="s">
        <v>22</v>
      </c>
    </row>
    <row r="988" spans="1:3" x14ac:dyDescent="0.2">
      <c r="A988" s="9">
        <v>986</v>
      </c>
      <c r="B988" s="9">
        <f t="shared" ca="1" si="15"/>
        <v>0.75296377348024057</v>
      </c>
      <c r="C988" s="9" t="s">
        <v>21</v>
      </c>
    </row>
    <row r="989" spans="1:3" x14ac:dyDescent="0.2">
      <c r="A989" s="9">
        <v>987</v>
      </c>
      <c r="B989" s="9">
        <f t="shared" ca="1" si="15"/>
        <v>0.74408334346473115</v>
      </c>
      <c r="C989" s="9" t="s">
        <v>22</v>
      </c>
    </row>
    <row r="990" spans="1:3" x14ac:dyDescent="0.2">
      <c r="A990" s="9">
        <v>988</v>
      </c>
      <c r="B990" s="9">
        <f t="shared" ca="1" si="15"/>
        <v>0.27173857035012483</v>
      </c>
      <c r="C990" s="9" t="s">
        <v>22</v>
      </c>
    </row>
    <row r="991" spans="1:3" x14ac:dyDescent="0.2">
      <c r="A991" s="9">
        <v>989</v>
      </c>
      <c r="B991" s="9">
        <f t="shared" ca="1" si="15"/>
        <v>0.77565777405655689</v>
      </c>
      <c r="C991" s="9" t="s">
        <v>21</v>
      </c>
    </row>
    <row r="992" spans="1:3" x14ac:dyDescent="0.2">
      <c r="A992" s="9">
        <v>990</v>
      </c>
      <c r="B992" s="9">
        <f t="shared" ca="1" si="15"/>
        <v>0.81325830359717211</v>
      </c>
      <c r="C992" s="9" t="s">
        <v>22</v>
      </c>
    </row>
    <row r="993" spans="1:3" x14ac:dyDescent="0.2">
      <c r="A993" s="9">
        <v>991</v>
      </c>
      <c r="B993" s="9">
        <f t="shared" ca="1" si="15"/>
        <v>0.63010148345484207</v>
      </c>
      <c r="C993" s="9" t="s">
        <v>21</v>
      </c>
    </row>
    <row r="994" spans="1:3" x14ac:dyDescent="0.2">
      <c r="A994" s="9">
        <v>992</v>
      </c>
      <c r="B994" s="9">
        <f t="shared" ca="1" si="15"/>
        <v>0.55394041143115558</v>
      </c>
      <c r="C994" s="9" t="s">
        <v>22</v>
      </c>
    </row>
    <row r="995" spans="1:3" x14ac:dyDescent="0.2">
      <c r="A995" s="9">
        <v>993</v>
      </c>
      <c r="B995" s="9">
        <f t="shared" ca="1" si="15"/>
        <v>0.76303698519045948</v>
      </c>
      <c r="C995" s="9" t="s">
        <v>21</v>
      </c>
    </row>
    <row r="996" spans="1:3" x14ac:dyDescent="0.2">
      <c r="A996" s="9">
        <v>994</v>
      </c>
      <c r="B996" s="9">
        <f t="shared" ca="1" si="15"/>
        <v>0.68244747020777663</v>
      </c>
      <c r="C996" s="9" t="s">
        <v>21</v>
      </c>
    </row>
    <row r="997" spans="1:3" x14ac:dyDescent="0.2">
      <c r="A997" s="9">
        <v>995</v>
      </c>
      <c r="B997" s="9">
        <f t="shared" ca="1" si="15"/>
        <v>0.59469007887658376</v>
      </c>
      <c r="C997" s="9" t="s">
        <v>22</v>
      </c>
    </row>
    <row r="998" spans="1:3" x14ac:dyDescent="0.2">
      <c r="A998" s="9">
        <v>996</v>
      </c>
      <c r="B998" s="9">
        <f t="shared" ca="1" si="15"/>
        <v>0.76822671638534534</v>
      </c>
      <c r="C998" s="9" t="s">
        <v>21</v>
      </c>
    </row>
    <row r="999" spans="1:3" x14ac:dyDescent="0.2">
      <c r="A999" s="9">
        <v>997</v>
      </c>
      <c r="B999" s="9">
        <f t="shared" ca="1" si="15"/>
        <v>0.81169675126883012</v>
      </c>
      <c r="C999" s="9" t="s">
        <v>22</v>
      </c>
    </row>
    <row r="1000" spans="1:3" x14ac:dyDescent="0.2">
      <c r="A1000" s="9">
        <v>998</v>
      </c>
      <c r="B1000" s="9">
        <f t="shared" ca="1" si="15"/>
        <v>0.69710527302758629</v>
      </c>
      <c r="C1000" s="9" t="s">
        <v>22</v>
      </c>
    </row>
    <row r="1001" spans="1:3" x14ac:dyDescent="0.2">
      <c r="A1001" s="9">
        <v>999</v>
      </c>
      <c r="B1001" s="9">
        <f t="shared" ca="1" si="15"/>
        <v>0.49208802974774046</v>
      </c>
      <c r="C1001" s="9" t="s">
        <v>22</v>
      </c>
    </row>
    <row r="1002" spans="1:3" x14ac:dyDescent="0.2">
      <c r="A1002" s="9">
        <v>1000</v>
      </c>
      <c r="B1002" s="9">
        <f t="shared" ca="1" si="15"/>
        <v>0.66396639885642927</v>
      </c>
      <c r="C1002" s="9" t="s">
        <v>22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23</v>
      </c>
      <c r="C2" s="5" t="s">
        <v>5</v>
      </c>
      <c r="J2" s="8" t="s">
        <v>26</v>
      </c>
      <c r="K2" s="8" t="s">
        <v>24</v>
      </c>
    </row>
    <row r="3" spans="1:11" x14ac:dyDescent="0.2">
      <c r="A3" s="5">
        <v>1</v>
      </c>
      <c r="B3" s="5">
        <f ca="1">IF(C3="Bomb",_xlfn.NORM.INV(RAND(),0.7,0.1),_xlfn.NORM.INV(RAND(),0.6,0.15))</f>
        <v>0.65612633989364944</v>
      </c>
      <c r="C3" s="5" t="str">
        <f ca="1">IF(RAND()&lt;0.5,"Bomb","Bird")</f>
        <v>Bird</v>
      </c>
      <c r="E3" s="5" t="s">
        <v>25</v>
      </c>
      <c r="J3" s="7">
        <f ca="1">F7</f>
        <v>0</v>
      </c>
      <c r="K3" s="7">
        <f ca="1">E7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0.75018074202222851</v>
      </c>
      <c r="C4" s="5" t="s">
        <v>21</v>
      </c>
      <c r="E4" s="7">
        <v>0.03</v>
      </c>
      <c r="I4" s="7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5">
        <v>3</v>
      </c>
      <c r="B5" s="5">
        <f t="shared" ca="1" si="0"/>
        <v>0.40137036357838052</v>
      </c>
      <c r="C5" s="5" t="s">
        <v>22</v>
      </c>
      <c r="I5" s="7">
        <v>0.06</v>
      </c>
      <c r="J5" s="6">
        <v>0</v>
      </c>
      <c r="K5" s="6">
        <v>1</v>
      </c>
    </row>
    <row r="6" spans="1:11" x14ac:dyDescent="0.2">
      <c r="A6" s="5">
        <v>4</v>
      </c>
      <c r="B6" s="5">
        <f t="shared" ca="1" si="0"/>
        <v>0.48154063799757407</v>
      </c>
      <c r="C6" s="5" t="s">
        <v>21</v>
      </c>
      <c r="E6" s="8" t="s">
        <v>24</v>
      </c>
      <c r="F6" s="8" t="s">
        <v>26</v>
      </c>
      <c r="I6" s="7">
        <v>0.09</v>
      </c>
      <c r="J6" s="6">
        <v>0</v>
      </c>
      <c r="K6" s="6">
        <v>1</v>
      </c>
    </row>
    <row r="7" spans="1:11" x14ac:dyDescent="0.2">
      <c r="A7" s="5">
        <v>5</v>
      </c>
      <c r="B7" s="5">
        <f t="shared" ca="1" si="0"/>
        <v>0.54824635030691948</v>
      </c>
      <c r="C7" s="5" t="s">
        <v>21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7">
        <v>0.12</v>
      </c>
      <c r="J7" s="6">
        <v>0</v>
      </c>
      <c r="K7" s="6">
        <v>1</v>
      </c>
    </row>
    <row r="8" spans="1:11" x14ac:dyDescent="0.2">
      <c r="A8" s="5">
        <v>6</v>
      </c>
      <c r="B8" s="5">
        <f t="shared" ca="1" si="0"/>
        <v>0.63361105270375506</v>
      </c>
      <c r="C8" s="5" t="s">
        <v>21</v>
      </c>
      <c r="I8" s="7">
        <v>0.15</v>
      </c>
      <c r="J8" s="6">
        <v>0</v>
      </c>
      <c r="K8" s="6">
        <v>1</v>
      </c>
    </row>
    <row r="9" spans="1:11" x14ac:dyDescent="0.2">
      <c r="A9" s="5">
        <v>7</v>
      </c>
      <c r="B9" s="5">
        <f t="shared" ca="1" si="0"/>
        <v>0.84597208872920571</v>
      </c>
      <c r="C9" s="5" t="s">
        <v>21</v>
      </c>
      <c r="I9" s="7">
        <v>0.18</v>
      </c>
      <c r="J9" s="6">
        <v>0</v>
      </c>
      <c r="K9" s="6">
        <v>1</v>
      </c>
    </row>
    <row r="10" spans="1:11" x14ac:dyDescent="0.2">
      <c r="A10" s="5">
        <v>8</v>
      </c>
      <c r="B10" s="5">
        <f t="shared" ca="1" si="0"/>
        <v>0.69693522349955495</v>
      </c>
      <c r="C10" s="5" t="s">
        <v>22</v>
      </c>
      <c r="I10" s="7">
        <v>0.21</v>
      </c>
      <c r="J10" s="6">
        <v>3.8986354775828458E-3</v>
      </c>
      <c r="K10" s="6">
        <v>1</v>
      </c>
    </row>
    <row r="11" spans="1:11" x14ac:dyDescent="0.2">
      <c r="A11" s="5">
        <v>9</v>
      </c>
      <c r="B11" s="5">
        <f t="shared" ca="1" si="0"/>
        <v>0.77784947991270625</v>
      </c>
      <c r="C11" s="5" t="s">
        <v>22</v>
      </c>
      <c r="I11" s="7">
        <v>0.24</v>
      </c>
      <c r="J11" s="6">
        <v>0</v>
      </c>
      <c r="K11" s="6">
        <v>1</v>
      </c>
    </row>
    <row r="12" spans="1:11" x14ac:dyDescent="0.2">
      <c r="A12" s="5">
        <v>10</v>
      </c>
      <c r="B12" s="5">
        <f t="shared" ca="1" si="0"/>
        <v>0.30194226888024223</v>
      </c>
      <c r="C12" s="5" t="s">
        <v>22</v>
      </c>
      <c r="I12" s="7">
        <v>0.27</v>
      </c>
      <c r="J12" s="6">
        <v>1.364522417153996E-2</v>
      </c>
      <c r="K12" s="6">
        <v>1</v>
      </c>
    </row>
    <row r="13" spans="1:11" x14ac:dyDescent="0.2">
      <c r="A13" s="5">
        <v>11</v>
      </c>
      <c r="B13" s="5">
        <f t="shared" ca="1" si="0"/>
        <v>0.69059026364073739</v>
      </c>
      <c r="C13" s="5" t="s">
        <v>22</v>
      </c>
      <c r="I13" s="7">
        <v>0.3</v>
      </c>
      <c r="J13" s="6">
        <v>2.9239766081871343E-2</v>
      </c>
      <c r="K13" s="6">
        <v>1</v>
      </c>
    </row>
    <row r="14" spans="1:11" x14ac:dyDescent="0.2">
      <c r="A14" s="5">
        <v>12</v>
      </c>
      <c r="B14" s="5">
        <f t="shared" ca="1" si="0"/>
        <v>0.53465805116790377</v>
      </c>
      <c r="C14" s="5" t="s">
        <v>22</v>
      </c>
      <c r="I14" s="7">
        <v>0.33</v>
      </c>
      <c r="J14" s="6">
        <v>3.5087719298245612E-2</v>
      </c>
      <c r="K14" s="6">
        <v>1</v>
      </c>
    </row>
    <row r="15" spans="1:11" x14ac:dyDescent="0.2">
      <c r="A15" s="5">
        <v>13</v>
      </c>
      <c r="B15" s="5">
        <f t="shared" ca="1" si="0"/>
        <v>0.62867223068210043</v>
      </c>
      <c r="C15" s="5" t="s">
        <v>21</v>
      </c>
      <c r="I15" s="7">
        <v>0.36</v>
      </c>
      <c r="J15" s="6">
        <v>5.0682261208576995E-2</v>
      </c>
      <c r="K15" s="6">
        <v>1</v>
      </c>
    </row>
    <row r="16" spans="1:11" x14ac:dyDescent="0.2">
      <c r="A16" s="5">
        <v>14</v>
      </c>
      <c r="B16" s="5">
        <f t="shared" ca="1" si="0"/>
        <v>0.56669614608101115</v>
      </c>
      <c r="C16" s="5" t="s">
        <v>21</v>
      </c>
      <c r="I16" s="7">
        <v>0.39</v>
      </c>
      <c r="J16" s="6">
        <v>7.7972709551656916E-2</v>
      </c>
      <c r="K16" s="6">
        <v>0.99794661190965095</v>
      </c>
    </row>
    <row r="17" spans="1:11" x14ac:dyDescent="0.2">
      <c r="A17" s="5">
        <v>15</v>
      </c>
      <c r="B17" s="5">
        <f t="shared" ca="1" si="0"/>
        <v>0.70115218994067141</v>
      </c>
      <c r="C17" s="5" t="s">
        <v>21</v>
      </c>
      <c r="I17" s="7">
        <v>0.42</v>
      </c>
      <c r="J17" s="6">
        <v>0.10700389105058365</v>
      </c>
      <c r="K17" s="6">
        <v>1</v>
      </c>
    </row>
    <row r="18" spans="1:11" x14ac:dyDescent="0.2">
      <c r="A18" s="5">
        <v>16</v>
      </c>
      <c r="B18" s="5">
        <f t="shared" ca="1" si="0"/>
        <v>0.4889400184063164</v>
      </c>
      <c r="C18" s="5" t="s">
        <v>22</v>
      </c>
      <c r="I18" s="7">
        <v>0.45</v>
      </c>
      <c r="J18" s="6">
        <v>0.13255360623781676</v>
      </c>
      <c r="K18" s="6">
        <v>0.99178644763860369</v>
      </c>
    </row>
    <row r="19" spans="1:11" x14ac:dyDescent="0.2">
      <c r="A19" s="5">
        <v>17</v>
      </c>
      <c r="B19" s="5">
        <f t="shared" ca="1" si="0"/>
        <v>0.70683776981471758</v>
      </c>
      <c r="C19" s="5" t="s">
        <v>21</v>
      </c>
      <c r="I19" s="7">
        <v>0.48</v>
      </c>
      <c r="J19" s="6">
        <v>0.19066147859922178</v>
      </c>
      <c r="K19" s="6">
        <v>0.98353909465020573</v>
      </c>
    </row>
    <row r="20" spans="1:11" x14ac:dyDescent="0.2">
      <c r="A20" s="5">
        <v>18</v>
      </c>
      <c r="B20" s="5">
        <f t="shared" ca="1" si="0"/>
        <v>0.53529944638034221</v>
      </c>
      <c r="C20" s="5" t="s">
        <v>22</v>
      </c>
      <c r="I20" s="7">
        <v>0.51</v>
      </c>
      <c r="J20" s="6">
        <v>0.29434697855750486</v>
      </c>
      <c r="K20" s="6">
        <v>0.97741273100616022</v>
      </c>
    </row>
    <row r="21" spans="1:11" x14ac:dyDescent="0.2">
      <c r="A21" s="5">
        <v>19</v>
      </c>
      <c r="B21" s="5">
        <f t="shared" ca="1" si="0"/>
        <v>0.72620080749583416</v>
      </c>
      <c r="C21" s="5" t="s">
        <v>21</v>
      </c>
      <c r="I21" s="7">
        <v>0.54</v>
      </c>
      <c r="J21" s="6">
        <v>0.36186770428015563</v>
      </c>
      <c r="K21" s="6">
        <v>0.94650205761316875</v>
      </c>
    </row>
    <row r="22" spans="1:11" x14ac:dyDescent="0.2">
      <c r="A22" s="5">
        <v>20</v>
      </c>
      <c r="B22" s="5">
        <f t="shared" ca="1" si="0"/>
        <v>0.68897492492569934</v>
      </c>
      <c r="C22" s="5" t="s">
        <v>21</v>
      </c>
      <c r="I22" s="7">
        <v>0.56999999999999995</v>
      </c>
      <c r="J22" s="6">
        <v>0.40077821011673154</v>
      </c>
      <c r="K22" s="6">
        <v>0.90534979423868311</v>
      </c>
    </row>
    <row r="23" spans="1:11" x14ac:dyDescent="0.2">
      <c r="A23" s="5">
        <v>21</v>
      </c>
      <c r="B23" s="5">
        <f t="shared" ca="1" si="0"/>
        <v>0.7838551994596159</v>
      </c>
      <c r="C23" s="5" t="s">
        <v>21</v>
      </c>
      <c r="I23" s="7">
        <v>0.6</v>
      </c>
      <c r="J23" s="6">
        <v>0.46303501945525294</v>
      </c>
      <c r="K23" s="6">
        <v>0.86419753086419748</v>
      </c>
    </row>
    <row r="24" spans="1:11" x14ac:dyDescent="0.2">
      <c r="A24" s="5">
        <v>22</v>
      </c>
      <c r="B24" s="5">
        <f t="shared" ca="1" si="0"/>
        <v>0.64255954829404283</v>
      </c>
      <c r="C24" s="5" t="s">
        <v>22</v>
      </c>
      <c r="I24" s="7">
        <v>0.63</v>
      </c>
      <c r="J24" s="6">
        <v>0.58949416342412453</v>
      </c>
      <c r="K24" s="6">
        <v>0.76954732510288071</v>
      </c>
    </row>
    <row r="25" spans="1:11" x14ac:dyDescent="0.2">
      <c r="A25" s="5">
        <v>23</v>
      </c>
      <c r="B25" s="5">
        <f t="shared" ca="1" si="0"/>
        <v>0.65606161223131365</v>
      </c>
      <c r="C25" s="5" t="s">
        <v>21</v>
      </c>
      <c r="I25" s="7">
        <v>0.66</v>
      </c>
      <c r="J25" s="6">
        <v>0.67704280155642027</v>
      </c>
      <c r="K25" s="6">
        <v>0.66049382716049387</v>
      </c>
    </row>
    <row r="26" spans="1:11" x14ac:dyDescent="0.2">
      <c r="A26" s="5">
        <v>24</v>
      </c>
      <c r="B26" s="5">
        <f t="shared" ca="1" si="0"/>
        <v>0.86805841773025583</v>
      </c>
      <c r="C26" s="5" t="s">
        <v>21</v>
      </c>
      <c r="I26" s="7">
        <v>0.69</v>
      </c>
      <c r="J26" s="6">
        <v>0.73684210526315785</v>
      </c>
      <c r="K26" s="6">
        <v>0.50718685831622179</v>
      </c>
    </row>
    <row r="27" spans="1:11" x14ac:dyDescent="0.2">
      <c r="A27" s="5">
        <v>25</v>
      </c>
      <c r="B27" s="5">
        <f t="shared" ca="1" si="0"/>
        <v>0.72387018773018375</v>
      </c>
      <c r="C27" s="5" t="s">
        <v>21</v>
      </c>
      <c r="I27" s="7">
        <v>0.72</v>
      </c>
      <c r="J27" s="6">
        <v>0.80506822612085771</v>
      </c>
      <c r="K27" s="6">
        <v>0.44147843942505133</v>
      </c>
    </row>
    <row r="28" spans="1:11" x14ac:dyDescent="0.2">
      <c r="A28" s="5">
        <v>26</v>
      </c>
      <c r="B28" s="5">
        <f t="shared" ca="1" si="0"/>
        <v>0.82420643562877194</v>
      </c>
      <c r="C28" s="5" t="s">
        <v>21</v>
      </c>
      <c r="I28" s="7">
        <v>0.75</v>
      </c>
      <c r="J28" s="6">
        <v>0.82456140350877194</v>
      </c>
      <c r="K28" s="6">
        <v>0.33059548254620125</v>
      </c>
    </row>
    <row r="29" spans="1:11" x14ac:dyDescent="0.2">
      <c r="A29" s="5">
        <v>27</v>
      </c>
      <c r="B29" s="5">
        <f t="shared" ca="1" si="0"/>
        <v>0.88914529739514703</v>
      </c>
      <c r="C29" s="5" t="s">
        <v>22</v>
      </c>
      <c r="I29" s="7">
        <v>0.78</v>
      </c>
      <c r="J29" s="6">
        <v>0.88521400778210113</v>
      </c>
      <c r="K29" s="6">
        <v>0.18106995884773663</v>
      </c>
    </row>
    <row r="30" spans="1:11" x14ac:dyDescent="0.2">
      <c r="A30" s="5">
        <v>28</v>
      </c>
      <c r="B30" s="5">
        <f t="shared" ca="1" si="0"/>
        <v>0.50890157945279002</v>
      </c>
      <c r="C30" s="5" t="s">
        <v>21</v>
      </c>
      <c r="I30" s="7">
        <v>0.81</v>
      </c>
      <c r="J30" s="6">
        <v>0.8910505836575876</v>
      </c>
      <c r="K30" s="6">
        <v>0.15226337448559671</v>
      </c>
    </row>
    <row r="31" spans="1:11" x14ac:dyDescent="0.2">
      <c r="A31" s="5">
        <v>29</v>
      </c>
      <c r="B31" s="5">
        <f t="shared" ca="1" si="0"/>
        <v>0.67898242284373111</v>
      </c>
      <c r="C31" s="5" t="s">
        <v>22</v>
      </c>
      <c r="I31" s="7">
        <v>0.84</v>
      </c>
      <c r="J31" s="6">
        <v>0.94541910331384016</v>
      </c>
      <c r="K31" s="6">
        <v>7.3921971252566734E-2</v>
      </c>
    </row>
    <row r="32" spans="1:11" x14ac:dyDescent="0.2">
      <c r="A32" s="5">
        <v>30</v>
      </c>
      <c r="B32" s="5">
        <f t="shared" ca="1" si="0"/>
        <v>0.61082804618864806</v>
      </c>
      <c r="C32" s="5" t="s">
        <v>21</v>
      </c>
      <c r="I32" s="7">
        <v>0.87</v>
      </c>
      <c r="J32" s="6">
        <v>0.96686159844054576</v>
      </c>
      <c r="K32" s="6">
        <v>5.9548254620123205E-2</v>
      </c>
    </row>
    <row r="33" spans="1:11" x14ac:dyDescent="0.2">
      <c r="A33" s="5">
        <v>31</v>
      </c>
      <c r="B33" s="5">
        <f t="shared" ca="1" si="0"/>
        <v>0.61786103623059585</v>
      </c>
      <c r="C33" s="5" t="s">
        <v>21</v>
      </c>
      <c r="I33" s="7">
        <v>0.9</v>
      </c>
      <c r="J33" s="6">
        <v>0.98050682261208577</v>
      </c>
      <c r="K33" s="6">
        <v>1.6427104722792608E-2</v>
      </c>
    </row>
    <row r="34" spans="1:11" x14ac:dyDescent="0.2">
      <c r="A34" s="5">
        <v>32</v>
      </c>
      <c r="B34" s="5">
        <f t="shared" ca="1" si="0"/>
        <v>0.49506611340848872</v>
      </c>
      <c r="C34" s="5" t="s">
        <v>22</v>
      </c>
      <c r="I34" s="7">
        <v>0.93</v>
      </c>
      <c r="J34" s="6">
        <v>0.99221789883268485</v>
      </c>
      <c r="K34" s="6">
        <v>1.2345679012345678E-2</v>
      </c>
    </row>
    <row r="35" spans="1:11" x14ac:dyDescent="0.2">
      <c r="A35" s="5">
        <v>33</v>
      </c>
      <c r="B35" s="5">
        <f t="shared" ca="1" si="0"/>
        <v>0.57931948945752254</v>
      </c>
      <c r="C35" s="5" t="s">
        <v>22</v>
      </c>
      <c r="I35" s="7">
        <v>0.96</v>
      </c>
      <c r="J35" s="6">
        <v>0.99221789883268485</v>
      </c>
      <c r="K35" s="6">
        <v>4.11522633744856E-3</v>
      </c>
    </row>
    <row r="36" spans="1:11" x14ac:dyDescent="0.2">
      <c r="A36" s="5">
        <v>34</v>
      </c>
      <c r="B36" s="5">
        <f t="shared" ca="1" si="0"/>
        <v>0.62326458437825427</v>
      </c>
      <c r="C36" s="5" t="s">
        <v>22</v>
      </c>
      <c r="I36" s="7">
        <v>0.99</v>
      </c>
      <c r="J36" s="6">
        <v>0.99027237354085607</v>
      </c>
      <c r="K36" s="6">
        <v>8.23045267489712E-3</v>
      </c>
    </row>
    <row r="37" spans="1:11" x14ac:dyDescent="0.2">
      <c r="A37" s="5">
        <v>35</v>
      </c>
      <c r="B37" s="5">
        <f t="shared" ca="1" si="0"/>
        <v>0.90136244188868231</v>
      </c>
      <c r="C37" s="5" t="s">
        <v>21</v>
      </c>
      <c r="I37" s="7"/>
    </row>
    <row r="38" spans="1:11" x14ac:dyDescent="0.2">
      <c r="A38" s="5">
        <v>36</v>
      </c>
      <c r="B38" s="5">
        <f t="shared" ca="1" si="0"/>
        <v>0.44263285822329845</v>
      </c>
      <c r="C38" s="5" t="s">
        <v>22</v>
      </c>
    </row>
    <row r="39" spans="1:11" x14ac:dyDescent="0.2">
      <c r="A39" s="5">
        <v>37</v>
      </c>
      <c r="B39" s="5">
        <f t="shared" ca="1" si="0"/>
        <v>0.46280774283743548</v>
      </c>
      <c r="C39" s="5" t="s">
        <v>22</v>
      </c>
    </row>
    <row r="40" spans="1:11" x14ac:dyDescent="0.2">
      <c r="A40" s="5">
        <v>38</v>
      </c>
      <c r="B40" s="5">
        <f t="shared" ca="1" si="0"/>
        <v>0.58014485453306963</v>
      </c>
      <c r="C40" s="5" t="s">
        <v>21</v>
      </c>
    </row>
    <row r="41" spans="1:11" x14ac:dyDescent="0.2">
      <c r="A41" s="5">
        <v>39</v>
      </c>
      <c r="B41" s="5">
        <f t="shared" ca="1" si="0"/>
        <v>0.73083833217763006</v>
      </c>
      <c r="C41" s="5" t="s">
        <v>22</v>
      </c>
    </row>
    <row r="42" spans="1:11" x14ac:dyDescent="0.2">
      <c r="A42" s="5">
        <v>40</v>
      </c>
      <c r="B42" s="5">
        <f t="shared" ca="1" si="0"/>
        <v>0.60780992042002391</v>
      </c>
      <c r="C42" s="5" t="s">
        <v>21</v>
      </c>
    </row>
    <row r="43" spans="1:11" x14ac:dyDescent="0.2">
      <c r="A43" s="5">
        <v>41</v>
      </c>
      <c r="B43" s="5">
        <f t="shared" ca="1" si="0"/>
        <v>0.60059199603013247</v>
      </c>
      <c r="C43" s="5" t="s">
        <v>22</v>
      </c>
    </row>
    <row r="44" spans="1:11" x14ac:dyDescent="0.2">
      <c r="A44" s="5">
        <v>42</v>
      </c>
      <c r="B44" s="5">
        <f t="shared" ca="1" si="0"/>
        <v>0.5375499569972555</v>
      </c>
      <c r="C44" s="5" t="s">
        <v>22</v>
      </c>
    </row>
    <row r="45" spans="1:11" x14ac:dyDescent="0.2">
      <c r="A45" s="5">
        <v>43</v>
      </c>
      <c r="B45" s="5">
        <f t="shared" ca="1" si="0"/>
        <v>0.6076969206859143</v>
      </c>
      <c r="C45" s="5" t="s">
        <v>22</v>
      </c>
    </row>
    <row r="46" spans="1:11" x14ac:dyDescent="0.2">
      <c r="A46" s="5">
        <v>44</v>
      </c>
      <c r="B46" s="5">
        <f t="shared" ca="1" si="0"/>
        <v>0.51287848139616621</v>
      </c>
      <c r="C46" s="5" t="s">
        <v>22</v>
      </c>
    </row>
    <row r="47" spans="1:11" x14ac:dyDescent="0.2">
      <c r="A47" s="5">
        <v>45</v>
      </c>
      <c r="B47" s="5">
        <f t="shared" ca="1" si="0"/>
        <v>0.69355665065494776</v>
      </c>
      <c r="C47" s="5" t="s">
        <v>22</v>
      </c>
    </row>
    <row r="48" spans="1:11" x14ac:dyDescent="0.2">
      <c r="A48" s="5">
        <v>46</v>
      </c>
      <c r="B48" s="5">
        <f t="shared" ca="1" si="0"/>
        <v>0.83504240656970175</v>
      </c>
      <c r="C48" s="5" t="s">
        <v>21</v>
      </c>
    </row>
    <row r="49" spans="1:3" x14ac:dyDescent="0.2">
      <c r="A49" s="5">
        <v>47</v>
      </c>
      <c r="B49" s="5">
        <f t="shared" ca="1" si="0"/>
        <v>0.53562630709221071</v>
      </c>
      <c r="C49" s="5" t="s">
        <v>21</v>
      </c>
    </row>
    <row r="50" spans="1:3" x14ac:dyDescent="0.2">
      <c r="A50" s="5">
        <v>48</v>
      </c>
      <c r="B50" s="5">
        <f t="shared" ca="1" si="0"/>
        <v>0.47991340843124031</v>
      </c>
      <c r="C50" s="5" t="s">
        <v>22</v>
      </c>
    </row>
    <row r="51" spans="1:3" x14ac:dyDescent="0.2">
      <c r="A51" s="5">
        <v>49</v>
      </c>
      <c r="B51" s="5">
        <f t="shared" ca="1" si="0"/>
        <v>0.59933851018845563</v>
      </c>
      <c r="C51" s="5" t="s">
        <v>21</v>
      </c>
    </row>
    <row r="52" spans="1:3" x14ac:dyDescent="0.2">
      <c r="A52" s="5">
        <v>50</v>
      </c>
      <c r="B52" s="5">
        <f t="shared" ca="1" si="0"/>
        <v>0.79529453720673704</v>
      </c>
      <c r="C52" s="5" t="s">
        <v>21</v>
      </c>
    </row>
    <row r="53" spans="1:3" x14ac:dyDescent="0.2">
      <c r="A53" s="5">
        <v>51</v>
      </c>
      <c r="B53" s="5">
        <f t="shared" ca="1" si="0"/>
        <v>0.64248568336264444</v>
      </c>
      <c r="C53" s="5" t="s">
        <v>21</v>
      </c>
    </row>
    <row r="54" spans="1:3" x14ac:dyDescent="0.2">
      <c r="A54" s="5">
        <v>52</v>
      </c>
      <c r="B54" s="5">
        <f t="shared" ca="1" si="0"/>
        <v>0.53705251336693816</v>
      </c>
      <c r="C54" s="5" t="s">
        <v>22</v>
      </c>
    </row>
    <row r="55" spans="1:3" x14ac:dyDescent="0.2">
      <c r="A55" s="5">
        <v>53</v>
      </c>
      <c r="B55" s="5">
        <f t="shared" ca="1" si="0"/>
        <v>0.4797736483399882</v>
      </c>
      <c r="C55" s="5" t="s">
        <v>22</v>
      </c>
    </row>
    <row r="56" spans="1:3" x14ac:dyDescent="0.2">
      <c r="A56" s="5">
        <v>54</v>
      </c>
      <c r="B56" s="5">
        <f t="shared" ca="1" si="0"/>
        <v>0.58605723990765823</v>
      </c>
      <c r="C56" s="5" t="s">
        <v>21</v>
      </c>
    </row>
    <row r="57" spans="1:3" x14ac:dyDescent="0.2">
      <c r="A57" s="5">
        <v>55</v>
      </c>
      <c r="B57" s="5">
        <f t="shared" ca="1" si="0"/>
        <v>0.80313220533214513</v>
      </c>
      <c r="C57" s="5" t="s">
        <v>21</v>
      </c>
    </row>
    <row r="58" spans="1:3" x14ac:dyDescent="0.2">
      <c r="A58" s="5">
        <v>56</v>
      </c>
      <c r="B58" s="5">
        <f t="shared" ca="1" si="0"/>
        <v>0.74004187616573003</v>
      </c>
      <c r="C58" s="5" t="s">
        <v>21</v>
      </c>
    </row>
    <row r="59" spans="1:3" x14ac:dyDescent="0.2">
      <c r="A59" s="5">
        <v>57</v>
      </c>
      <c r="B59" s="5">
        <f t="shared" ca="1" si="0"/>
        <v>0.62706221480801161</v>
      </c>
      <c r="C59" s="5" t="s">
        <v>22</v>
      </c>
    </row>
    <row r="60" spans="1:3" x14ac:dyDescent="0.2">
      <c r="A60" s="5">
        <v>58</v>
      </c>
      <c r="B60" s="5">
        <f t="shared" ca="1" si="0"/>
        <v>0.72513317563954804</v>
      </c>
      <c r="C60" s="5" t="s">
        <v>21</v>
      </c>
    </row>
    <row r="61" spans="1:3" x14ac:dyDescent="0.2">
      <c r="A61" s="5">
        <v>59</v>
      </c>
      <c r="B61" s="5">
        <f t="shared" ca="1" si="0"/>
        <v>0.70793299496218787</v>
      </c>
      <c r="C61" s="5" t="s">
        <v>21</v>
      </c>
    </row>
    <row r="62" spans="1:3" x14ac:dyDescent="0.2">
      <c r="A62" s="5">
        <v>60</v>
      </c>
      <c r="B62" s="5">
        <f t="shared" ca="1" si="0"/>
        <v>0.76775050059499717</v>
      </c>
      <c r="C62" s="5" t="s">
        <v>22</v>
      </c>
    </row>
    <row r="63" spans="1:3" x14ac:dyDescent="0.2">
      <c r="A63" s="5">
        <v>61</v>
      </c>
      <c r="B63" s="5">
        <f t="shared" ca="1" si="0"/>
        <v>0.71594180701266463</v>
      </c>
      <c r="C63" s="5" t="s">
        <v>22</v>
      </c>
    </row>
    <row r="64" spans="1:3" x14ac:dyDescent="0.2">
      <c r="A64" s="5">
        <v>62</v>
      </c>
      <c r="B64" s="5">
        <f t="shared" ca="1" si="0"/>
        <v>0.33049344460119578</v>
      </c>
      <c r="C64" s="5" t="s">
        <v>22</v>
      </c>
    </row>
    <row r="65" spans="1:3" x14ac:dyDescent="0.2">
      <c r="A65" s="5">
        <v>63</v>
      </c>
      <c r="B65" s="5">
        <f t="shared" ca="1" si="0"/>
        <v>0.7893034106132657</v>
      </c>
      <c r="C65" s="5" t="s">
        <v>21</v>
      </c>
    </row>
    <row r="66" spans="1:3" x14ac:dyDescent="0.2">
      <c r="A66" s="5">
        <v>64</v>
      </c>
      <c r="B66" s="5">
        <f t="shared" ca="1" si="0"/>
        <v>0.63007576292152334</v>
      </c>
      <c r="C66" s="5" t="s">
        <v>21</v>
      </c>
    </row>
    <row r="67" spans="1:3" x14ac:dyDescent="0.2">
      <c r="A67" s="5">
        <v>65</v>
      </c>
      <c r="B67" s="5">
        <f t="shared" ca="1" si="0"/>
        <v>0.75187064161549866</v>
      </c>
      <c r="C67" s="5" t="s">
        <v>21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0.75185055045691229</v>
      </c>
      <c r="C68" s="5" t="s">
        <v>21</v>
      </c>
    </row>
    <row r="69" spans="1:3" x14ac:dyDescent="0.2">
      <c r="A69" s="5">
        <v>67</v>
      </c>
      <c r="B69" s="5">
        <f t="shared" ca="1" si="1"/>
        <v>0.74425939936655494</v>
      </c>
      <c r="C69" s="5" t="s">
        <v>21</v>
      </c>
    </row>
    <row r="70" spans="1:3" x14ac:dyDescent="0.2">
      <c r="A70" s="5">
        <v>68</v>
      </c>
      <c r="B70" s="5">
        <f t="shared" ca="1" si="1"/>
        <v>0.48967291914880112</v>
      </c>
      <c r="C70" s="5" t="s">
        <v>22</v>
      </c>
    </row>
    <row r="71" spans="1:3" x14ac:dyDescent="0.2">
      <c r="A71" s="5">
        <v>69</v>
      </c>
      <c r="B71" s="5">
        <f t="shared" ca="1" si="1"/>
        <v>0.38432744904973781</v>
      </c>
      <c r="C71" s="5" t="s">
        <v>22</v>
      </c>
    </row>
    <row r="72" spans="1:3" x14ac:dyDescent="0.2">
      <c r="A72" s="5">
        <v>70</v>
      </c>
      <c r="B72" s="5">
        <f t="shared" ca="1" si="1"/>
        <v>0.43936627647532372</v>
      </c>
      <c r="C72" s="5" t="s">
        <v>22</v>
      </c>
    </row>
    <row r="73" spans="1:3" x14ac:dyDescent="0.2">
      <c r="A73" s="5">
        <v>71</v>
      </c>
      <c r="B73" s="5">
        <f t="shared" ca="1" si="1"/>
        <v>0.53377981375843364</v>
      </c>
      <c r="C73" s="5" t="s">
        <v>22</v>
      </c>
    </row>
    <row r="74" spans="1:3" x14ac:dyDescent="0.2">
      <c r="A74" s="5">
        <v>72</v>
      </c>
      <c r="B74" s="5">
        <f t="shared" ca="1" si="1"/>
        <v>1.0286484077397573</v>
      </c>
      <c r="C74" s="5" t="s">
        <v>22</v>
      </c>
    </row>
    <row r="75" spans="1:3" x14ac:dyDescent="0.2">
      <c r="A75" s="5">
        <v>73</v>
      </c>
      <c r="B75" s="5">
        <f t="shared" ca="1" si="1"/>
        <v>0.71475081909479765</v>
      </c>
      <c r="C75" s="5" t="s">
        <v>21</v>
      </c>
    </row>
    <row r="76" spans="1:3" x14ac:dyDescent="0.2">
      <c r="A76" s="5">
        <v>74</v>
      </c>
      <c r="B76" s="5">
        <f t="shared" ca="1" si="1"/>
        <v>0.71472985263496447</v>
      </c>
      <c r="C76" s="5" t="s">
        <v>21</v>
      </c>
    </row>
    <row r="77" spans="1:3" x14ac:dyDescent="0.2">
      <c r="A77" s="5">
        <v>75</v>
      </c>
      <c r="B77" s="5">
        <f t="shared" ca="1" si="1"/>
        <v>0.70823095043832529</v>
      </c>
      <c r="C77" s="5" t="s">
        <v>21</v>
      </c>
    </row>
    <row r="78" spans="1:3" x14ac:dyDescent="0.2">
      <c r="A78" s="5">
        <v>76</v>
      </c>
      <c r="B78" s="5">
        <f t="shared" ca="1" si="1"/>
        <v>0.57990200191370866</v>
      </c>
      <c r="C78" s="5" t="s">
        <v>21</v>
      </c>
    </row>
    <row r="79" spans="1:3" x14ac:dyDescent="0.2">
      <c r="A79" s="5">
        <v>77</v>
      </c>
      <c r="B79" s="5">
        <f t="shared" ca="1" si="1"/>
        <v>0.50331772645311068</v>
      </c>
      <c r="C79" s="5" t="s">
        <v>22</v>
      </c>
    </row>
    <row r="80" spans="1:3" x14ac:dyDescent="0.2">
      <c r="A80" s="5">
        <v>78</v>
      </c>
      <c r="B80" s="5">
        <f t="shared" ca="1" si="1"/>
        <v>0.77500988926625702</v>
      </c>
      <c r="C80" s="5" t="s">
        <v>21</v>
      </c>
    </row>
    <row r="81" spans="1:3" x14ac:dyDescent="0.2">
      <c r="A81" s="5">
        <v>79</v>
      </c>
      <c r="B81" s="5">
        <f t="shared" ca="1" si="1"/>
        <v>0.63263842584335916</v>
      </c>
      <c r="C81" s="5" t="s">
        <v>22</v>
      </c>
    </row>
    <row r="82" spans="1:3" x14ac:dyDescent="0.2">
      <c r="A82" s="5">
        <v>80</v>
      </c>
      <c r="B82" s="5">
        <f t="shared" ca="1" si="1"/>
        <v>0.72525252568580034</v>
      </c>
      <c r="C82" s="5" t="s">
        <v>21</v>
      </c>
    </row>
    <row r="83" spans="1:3" x14ac:dyDescent="0.2">
      <c r="A83" s="5">
        <v>81</v>
      </c>
      <c r="B83" s="5">
        <f t="shared" ca="1" si="1"/>
        <v>0.78201341008604586</v>
      </c>
      <c r="C83" s="5" t="s">
        <v>21</v>
      </c>
    </row>
    <row r="84" spans="1:3" x14ac:dyDescent="0.2">
      <c r="A84" s="5">
        <v>82</v>
      </c>
      <c r="B84" s="5">
        <f t="shared" ca="1" si="1"/>
        <v>0.49093295229141992</v>
      </c>
      <c r="C84" s="5" t="s">
        <v>22</v>
      </c>
    </row>
    <row r="85" spans="1:3" x14ac:dyDescent="0.2">
      <c r="A85" s="5">
        <v>83</v>
      </c>
      <c r="B85" s="5">
        <f t="shared" ca="1" si="1"/>
        <v>0.71500073711682266</v>
      </c>
      <c r="C85" s="5" t="s">
        <v>21</v>
      </c>
    </row>
    <row r="86" spans="1:3" x14ac:dyDescent="0.2">
      <c r="A86" s="5">
        <v>84</v>
      </c>
      <c r="B86" s="5">
        <f t="shared" ca="1" si="1"/>
        <v>0.83184784975590098</v>
      </c>
      <c r="C86" s="5" t="s">
        <v>21</v>
      </c>
    </row>
    <row r="87" spans="1:3" x14ac:dyDescent="0.2">
      <c r="A87" s="5">
        <v>85</v>
      </c>
      <c r="B87" s="5">
        <f t="shared" ca="1" si="1"/>
        <v>0.79382099576683351</v>
      </c>
      <c r="C87" s="5" t="s">
        <v>22</v>
      </c>
    </row>
    <row r="88" spans="1:3" x14ac:dyDescent="0.2">
      <c r="A88" s="5">
        <v>86</v>
      </c>
      <c r="B88" s="5">
        <f t="shared" ca="1" si="1"/>
        <v>0.3014077793034175</v>
      </c>
      <c r="C88" s="5" t="s">
        <v>22</v>
      </c>
    </row>
    <row r="89" spans="1:3" x14ac:dyDescent="0.2">
      <c r="A89" s="5">
        <v>87</v>
      </c>
      <c r="B89" s="5">
        <f t="shared" ca="1" si="1"/>
        <v>0.65690635613549764</v>
      </c>
      <c r="C89" s="5" t="s">
        <v>22</v>
      </c>
    </row>
    <row r="90" spans="1:3" x14ac:dyDescent="0.2">
      <c r="A90" s="5">
        <v>88</v>
      </c>
      <c r="B90" s="5">
        <f t="shared" ca="1" si="1"/>
        <v>0.55798454871384473</v>
      </c>
      <c r="C90" s="5" t="s">
        <v>22</v>
      </c>
    </row>
    <row r="91" spans="1:3" x14ac:dyDescent="0.2">
      <c r="A91" s="5">
        <v>89</v>
      </c>
      <c r="B91" s="5">
        <f t="shared" ca="1" si="1"/>
        <v>0.61204096607986569</v>
      </c>
      <c r="C91" s="5" t="s">
        <v>22</v>
      </c>
    </row>
    <row r="92" spans="1:3" x14ac:dyDescent="0.2">
      <c r="A92" s="5">
        <v>90</v>
      </c>
      <c r="B92" s="5">
        <f t="shared" ca="1" si="1"/>
        <v>0.72265045092300229</v>
      </c>
      <c r="C92" s="5" t="s">
        <v>21</v>
      </c>
    </row>
    <row r="93" spans="1:3" x14ac:dyDescent="0.2">
      <c r="A93" s="5">
        <v>91</v>
      </c>
      <c r="B93" s="5">
        <f t="shared" ca="1" si="1"/>
        <v>0.72067674879119537</v>
      </c>
      <c r="C93" s="5" t="s">
        <v>21</v>
      </c>
    </row>
    <row r="94" spans="1:3" x14ac:dyDescent="0.2">
      <c r="A94" s="5">
        <v>92</v>
      </c>
      <c r="B94" s="5">
        <f t="shared" ca="1" si="1"/>
        <v>0.51484886527064178</v>
      </c>
      <c r="C94" s="5" t="s">
        <v>22</v>
      </c>
    </row>
    <row r="95" spans="1:3" x14ac:dyDescent="0.2">
      <c r="A95" s="5">
        <v>93</v>
      </c>
      <c r="B95" s="5">
        <f t="shared" ca="1" si="1"/>
        <v>0.78024617125901963</v>
      </c>
      <c r="C95" s="5" t="s">
        <v>21</v>
      </c>
    </row>
    <row r="96" spans="1:3" x14ac:dyDescent="0.2">
      <c r="A96" s="5">
        <v>94</v>
      </c>
      <c r="B96" s="5">
        <f t="shared" ca="1" si="1"/>
        <v>0.64123077004055185</v>
      </c>
      <c r="C96" s="5" t="s">
        <v>21</v>
      </c>
    </row>
    <row r="97" spans="1:3" x14ac:dyDescent="0.2">
      <c r="A97" s="5">
        <v>95</v>
      </c>
      <c r="B97" s="5">
        <f t="shared" ca="1" si="1"/>
        <v>0.46091406534414359</v>
      </c>
      <c r="C97" s="5" t="s">
        <v>22</v>
      </c>
    </row>
    <row r="98" spans="1:3" x14ac:dyDescent="0.2">
      <c r="A98" s="5">
        <v>96</v>
      </c>
      <c r="B98" s="5">
        <f t="shared" ca="1" si="1"/>
        <v>0.48055932599204404</v>
      </c>
      <c r="C98" s="5" t="s">
        <v>22</v>
      </c>
    </row>
    <row r="99" spans="1:3" x14ac:dyDescent="0.2">
      <c r="A99" s="5">
        <v>97</v>
      </c>
      <c r="B99" s="5">
        <f t="shared" ca="1" si="1"/>
        <v>0.88093023687060212</v>
      </c>
      <c r="C99" s="5" t="s">
        <v>21</v>
      </c>
    </row>
    <row r="100" spans="1:3" x14ac:dyDescent="0.2">
      <c r="A100" s="5">
        <v>98</v>
      </c>
      <c r="B100" s="5">
        <f t="shared" ca="1" si="1"/>
        <v>0.72705977320937276</v>
      </c>
      <c r="C100" s="5" t="s">
        <v>21</v>
      </c>
    </row>
    <row r="101" spans="1:3" x14ac:dyDescent="0.2">
      <c r="A101" s="5">
        <v>99</v>
      </c>
      <c r="B101" s="5">
        <f t="shared" ca="1" si="1"/>
        <v>0.72296813295471829</v>
      </c>
      <c r="C101" s="5" t="s">
        <v>21</v>
      </c>
    </row>
    <row r="102" spans="1:3" x14ac:dyDescent="0.2">
      <c r="A102" s="5">
        <v>100</v>
      </c>
      <c r="B102" s="5">
        <f t="shared" ca="1" si="1"/>
        <v>0.70403106058883436</v>
      </c>
      <c r="C102" s="5" t="s">
        <v>22</v>
      </c>
    </row>
    <row r="103" spans="1:3" x14ac:dyDescent="0.2">
      <c r="A103" s="5">
        <v>101</v>
      </c>
      <c r="B103" s="5">
        <f t="shared" ca="1" si="1"/>
        <v>0.89270467444827573</v>
      </c>
      <c r="C103" s="5" t="s">
        <v>21</v>
      </c>
    </row>
    <row r="104" spans="1:3" x14ac:dyDescent="0.2">
      <c r="A104" s="5">
        <v>102</v>
      </c>
      <c r="B104" s="5">
        <f t="shared" ca="1" si="1"/>
        <v>0.50977231250236099</v>
      </c>
      <c r="C104" s="5" t="s">
        <v>22</v>
      </c>
    </row>
    <row r="105" spans="1:3" x14ac:dyDescent="0.2">
      <c r="A105" s="5">
        <v>103</v>
      </c>
      <c r="B105" s="5">
        <f t="shared" ca="1" si="1"/>
        <v>1.0354703771163221</v>
      </c>
      <c r="C105" s="5" t="s">
        <v>22</v>
      </c>
    </row>
    <row r="106" spans="1:3" x14ac:dyDescent="0.2">
      <c r="A106" s="5">
        <v>104</v>
      </c>
      <c r="B106" s="5">
        <f t="shared" ca="1" si="1"/>
        <v>0.44521027405360009</v>
      </c>
      <c r="C106" s="5" t="s">
        <v>22</v>
      </c>
    </row>
    <row r="107" spans="1:3" x14ac:dyDescent="0.2">
      <c r="A107" s="5">
        <v>105</v>
      </c>
      <c r="B107" s="5">
        <f t="shared" ca="1" si="1"/>
        <v>0.56755061420948572</v>
      </c>
      <c r="C107" s="5" t="s">
        <v>21</v>
      </c>
    </row>
    <row r="108" spans="1:3" x14ac:dyDescent="0.2">
      <c r="A108" s="5">
        <v>106</v>
      </c>
      <c r="B108" s="5">
        <f t="shared" ca="1" si="1"/>
        <v>0.48669722830277184</v>
      </c>
      <c r="C108" s="5" t="s">
        <v>22</v>
      </c>
    </row>
    <row r="109" spans="1:3" x14ac:dyDescent="0.2">
      <c r="A109" s="5">
        <v>107</v>
      </c>
      <c r="B109" s="5">
        <f t="shared" ca="1" si="1"/>
        <v>0.91503268923092795</v>
      </c>
      <c r="C109" s="5" t="s">
        <v>22</v>
      </c>
    </row>
    <row r="110" spans="1:3" x14ac:dyDescent="0.2">
      <c r="A110" s="5">
        <v>108</v>
      </c>
      <c r="B110" s="5">
        <f t="shared" ca="1" si="1"/>
        <v>0.51135739719813389</v>
      </c>
      <c r="C110" s="5" t="s">
        <v>22</v>
      </c>
    </row>
    <row r="111" spans="1:3" x14ac:dyDescent="0.2">
      <c r="A111" s="5">
        <v>109</v>
      </c>
      <c r="B111" s="5">
        <f t="shared" ca="1" si="1"/>
        <v>0.37848709137753445</v>
      </c>
      <c r="C111" s="5" t="s">
        <v>22</v>
      </c>
    </row>
    <row r="112" spans="1:3" x14ac:dyDescent="0.2">
      <c r="A112" s="5">
        <v>110</v>
      </c>
      <c r="B112" s="5">
        <f t="shared" ca="1" si="1"/>
        <v>0.91412794373153061</v>
      </c>
      <c r="C112" s="5" t="s">
        <v>22</v>
      </c>
    </row>
    <row r="113" spans="1:3" x14ac:dyDescent="0.2">
      <c r="A113" s="5">
        <v>111</v>
      </c>
      <c r="B113" s="5">
        <f t="shared" ca="1" si="1"/>
        <v>0.74203350580515826</v>
      </c>
      <c r="C113" s="5" t="s">
        <v>21</v>
      </c>
    </row>
    <row r="114" spans="1:3" x14ac:dyDescent="0.2">
      <c r="A114" s="5">
        <v>112</v>
      </c>
      <c r="B114" s="5">
        <f t="shared" ca="1" si="1"/>
        <v>0.56628843802197293</v>
      </c>
      <c r="C114" s="5" t="s">
        <v>22</v>
      </c>
    </row>
    <row r="115" spans="1:3" x14ac:dyDescent="0.2">
      <c r="A115" s="5">
        <v>113</v>
      </c>
      <c r="B115" s="5">
        <f t="shared" ca="1" si="1"/>
        <v>0.79026390257901369</v>
      </c>
      <c r="C115" s="5" t="s">
        <v>22</v>
      </c>
    </row>
    <row r="116" spans="1:3" x14ac:dyDescent="0.2">
      <c r="A116" s="5">
        <v>114</v>
      </c>
      <c r="B116" s="5">
        <f t="shared" ca="1" si="1"/>
        <v>0.62992768643385522</v>
      </c>
      <c r="C116" s="5" t="s">
        <v>22</v>
      </c>
    </row>
    <row r="117" spans="1:3" x14ac:dyDescent="0.2">
      <c r="A117" s="5">
        <v>115</v>
      </c>
      <c r="B117" s="5">
        <f t="shared" ca="1" si="1"/>
        <v>0.75215218575276632</v>
      </c>
      <c r="C117" s="5" t="s">
        <v>22</v>
      </c>
    </row>
    <row r="118" spans="1:3" x14ac:dyDescent="0.2">
      <c r="A118" s="5">
        <v>116</v>
      </c>
      <c r="B118" s="5">
        <f t="shared" ca="1" si="1"/>
        <v>0.57595187083596766</v>
      </c>
      <c r="C118" s="5" t="s">
        <v>22</v>
      </c>
    </row>
    <row r="119" spans="1:3" x14ac:dyDescent="0.2">
      <c r="A119" s="5">
        <v>117</v>
      </c>
      <c r="B119" s="5">
        <f t="shared" ca="1" si="1"/>
        <v>0.72545891223704972</v>
      </c>
      <c r="C119" s="5" t="s">
        <v>22</v>
      </c>
    </row>
    <row r="120" spans="1:3" x14ac:dyDescent="0.2">
      <c r="A120" s="5">
        <v>118</v>
      </c>
      <c r="B120" s="5">
        <f t="shared" ca="1" si="1"/>
        <v>0.6548913166032958</v>
      </c>
      <c r="C120" s="5" t="s">
        <v>22</v>
      </c>
    </row>
    <row r="121" spans="1:3" x14ac:dyDescent="0.2">
      <c r="A121" s="5">
        <v>119</v>
      </c>
      <c r="B121" s="5">
        <f t="shared" ca="1" si="1"/>
        <v>0.38501739331069207</v>
      </c>
      <c r="C121" s="5" t="s">
        <v>22</v>
      </c>
    </row>
    <row r="122" spans="1:3" x14ac:dyDescent="0.2">
      <c r="A122" s="5">
        <v>120</v>
      </c>
      <c r="B122" s="5">
        <f t="shared" ca="1" si="1"/>
        <v>0.68074936752948889</v>
      </c>
      <c r="C122" s="5" t="s">
        <v>21</v>
      </c>
    </row>
    <row r="123" spans="1:3" x14ac:dyDescent="0.2">
      <c r="A123" s="5">
        <v>121</v>
      </c>
      <c r="B123" s="5">
        <f t="shared" ca="1" si="1"/>
        <v>0.63729998356351447</v>
      </c>
      <c r="C123" s="5" t="s">
        <v>21</v>
      </c>
    </row>
    <row r="124" spans="1:3" x14ac:dyDescent="0.2">
      <c r="A124" s="5">
        <v>122</v>
      </c>
      <c r="B124" s="5">
        <f t="shared" ca="1" si="1"/>
        <v>0.53168011567054274</v>
      </c>
      <c r="C124" s="5" t="s">
        <v>22</v>
      </c>
    </row>
    <row r="125" spans="1:3" x14ac:dyDescent="0.2">
      <c r="A125" s="5">
        <v>123</v>
      </c>
      <c r="B125" s="5">
        <f t="shared" ca="1" si="1"/>
        <v>0.76891557496616425</v>
      </c>
      <c r="C125" s="5" t="s">
        <v>21</v>
      </c>
    </row>
    <row r="126" spans="1:3" x14ac:dyDescent="0.2">
      <c r="A126" s="5">
        <v>124</v>
      </c>
      <c r="B126" s="5">
        <f t="shared" ca="1" si="1"/>
        <v>0.64242028038301224</v>
      </c>
      <c r="C126" s="5" t="s">
        <v>21</v>
      </c>
    </row>
    <row r="127" spans="1:3" x14ac:dyDescent="0.2">
      <c r="A127" s="5">
        <v>125</v>
      </c>
      <c r="B127" s="5">
        <f t="shared" ca="1" si="1"/>
        <v>0.7788084553092568</v>
      </c>
      <c r="C127" s="5" t="s">
        <v>22</v>
      </c>
    </row>
    <row r="128" spans="1:3" x14ac:dyDescent="0.2">
      <c r="A128" s="5">
        <v>126</v>
      </c>
      <c r="B128" s="5">
        <f t="shared" ca="1" si="1"/>
        <v>0.69089765356674082</v>
      </c>
      <c r="C128" s="5" t="s">
        <v>22</v>
      </c>
    </row>
    <row r="129" spans="1:3" x14ac:dyDescent="0.2">
      <c r="A129" s="5">
        <v>127</v>
      </c>
      <c r="B129" s="5">
        <f t="shared" ca="1" si="1"/>
        <v>0.96045951278590536</v>
      </c>
      <c r="C129" s="5" t="s">
        <v>22</v>
      </c>
    </row>
    <row r="130" spans="1:3" x14ac:dyDescent="0.2">
      <c r="A130" s="5">
        <v>128</v>
      </c>
      <c r="B130" s="5">
        <f t="shared" ca="1" si="1"/>
        <v>0.47290444389421615</v>
      </c>
      <c r="C130" s="5" t="s">
        <v>22</v>
      </c>
    </row>
    <row r="131" spans="1:3" x14ac:dyDescent="0.2">
      <c r="A131" s="5">
        <v>129</v>
      </c>
      <c r="B131" s="5">
        <f t="shared" ca="1" si="1"/>
        <v>0.57174485595482816</v>
      </c>
      <c r="C131" s="5" t="s">
        <v>22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0.64969907485025558</v>
      </c>
      <c r="C132" s="5" t="s">
        <v>21</v>
      </c>
    </row>
    <row r="133" spans="1:3" x14ac:dyDescent="0.2">
      <c r="A133" s="5">
        <v>131</v>
      </c>
      <c r="B133" s="5">
        <f t="shared" ca="1" si="2"/>
        <v>0.79027826703391291</v>
      </c>
      <c r="C133" s="5" t="s">
        <v>21</v>
      </c>
    </row>
    <row r="134" spans="1:3" x14ac:dyDescent="0.2">
      <c r="A134" s="5">
        <v>132</v>
      </c>
      <c r="B134" s="5">
        <f t="shared" ca="1" si="2"/>
        <v>0.55230122729735109</v>
      </c>
      <c r="C134" s="5" t="s">
        <v>21</v>
      </c>
    </row>
    <row r="135" spans="1:3" x14ac:dyDescent="0.2">
      <c r="A135" s="5">
        <v>133</v>
      </c>
      <c r="B135" s="5">
        <f t="shared" ca="1" si="2"/>
        <v>0.96412047239134813</v>
      </c>
      <c r="C135" s="5" t="s">
        <v>21</v>
      </c>
    </row>
    <row r="136" spans="1:3" x14ac:dyDescent="0.2">
      <c r="A136" s="5">
        <v>134</v>
      </c>
      <c r="B136" s="5">
        <f t="shared" ca="1" si="2"/>
        <v>0.60121964207650225</v>
      </c>
      <c r="C136" s="5" t="s">
        <v>22</v>
      </c>
    </row>
    <row r="137" spans="1:3" x14ac:dyDescent="0.2">
      <c r="A137" s="5">
        <v>135</v>
      </c>
      <c r="B137" s="5">
        <f t="shared" ca="1" si="2"/>
        <v>0.70380429143310297</v>
      </c>
      <c r="C137" s="5" t="s">
        <v>21</v>
      </c>
    </row>
    <row r="138" spans="1:3" x14ac:dyDescent="0.2">
      <c r="A138" s="5">
        <v>136</v>
      </c>
      <c r="B138" s="5">
        <f t="shared" ca="1" si="2"/>
        <v>0.63631064791083602</v>
      </c>
      <c r="C138" s="5" t="s">
        <v>21</v>
      </c>
    </row>
    <row r="139" spans="1:3" x14ac:dyDescent="0.2">
      <c r="A139" s="5">
        <v>137</v>
      </c>
      <c r="B139" s="5">
        <f t="shared" ca="1" si="2"/>
        <v>0.83886223698705442</v>
      </c>
      <c r="C139" s="5" t="s">
        <v>22</v>
      </c>
    </row>
    <row r="140" spans="1:3" x14ac:dyDescent="0.2">
      <c r="A140" s="5">
        <v>138</v>
      </c>
      <c r="B140" s="5">
        <f t="shared" ca="1" si="2"/>
        <v>0.89938904454709567</v>
      </c>
      <c r="C140" s="5" t="s">
        <v>21</v>
      </c>
    </row>
    <row r="141" spans="1:3" x14ac:dyDescent="0.2">
      <c r="A141" s="5">
        <v>139</v>
      </c>
      <c r="B141" s="5">
        <f t="shared" ca="1" si="2"/>
        <v>0.65072675988198014</v>
      </c>
      <c r="C141" s="5" t="s">
        <v>22</v>
      </c>
    </row>
    <row r="142" spans="1:3" x14ac:dyDescent="0.2">
      <c r="A142" s="5">
        <v>140</v>
      </c>
      <c r="B142" s="5">
        <f t="shared" ca="1" si="2"/>
        <v>0.6678651393278231</v>
      </c>
      <c r="C142" s="5" t="s">
        <v>22</v>
      </c>
    </row>
    <row r="143" spans="1:3" x14ac:dyDescent="0.2">
      <c r="A143" s="5">
        <v>141</v>
      </c>
      <c r="B143" s="5">
        <f t="shared" ca="1" si="2"/>
        <v>0.52020497496752083</v>
      </c>
      <c r="C143" s="5" t="s">
        <v>22</v>
      </c>
    </row>
    <row r="144" spans="1:3" x14ac:dyDescent="0.2">
      <c r="A144" s="5">
        <v>142</v>
      </c>
      <c r="B144" s="5">
        <f t="shared" ca="1" si="2"/>
        <v>0.77439477074240481</v>
      </c>
      <c r="C144" s="5" t="s">
        <v>21</v>
      </c>
    </row>
    <row r="145" spans="1:3" x14ac:dyDescent="0.2">
      <c r="A145" s="5">
        <v>143</v>
      </c>
      <c r="B145" s="5">
        <f t="shared" ca="1" si="2"/>
        <v>0.80388643018837913</v>
      </c>
      <c r="C145" s="5" t="s">
        <v>22</v>
      </c>
    </row>
    <row r="146" spans="1:3" x14ac:dyDescent="0.2">
      <c r="A146" s="5">
        <v>144</v>
      </c>
      <c r="B146" s="5">
        <f t="shared" ca="1" si="2"/>
        <v>0.69070877149193044</v>
      </c>
      <c r="C146" s="5" t="s">
        <v>21</v>
      </c>
    </row>
    <row r="147" spans="1:3" x14ac:dyDescent="0.2">
      <c r="A147" s="5">
        <v>145</v>
      </c>
      <c r="B147" s="5">
        <f t="shared" ca="1" si="2"/>
        <v>0.54850663184480464</v>
      </c>
      <c r="C147" s="5" t="s">
        <v>22</v>
      </c>
    </row>
    <row r="148" spans="1:3" x14ac:dyDescent="0.2">
      <c r="A148" s="5">
        <v>146</v>
      </c>
      <c r="B148" s="5">
        <f t="shared" ca="1" si="2"/>
        <v>0.51938440485877002</v>
      </c>
      <c r="C148" s="5" t="s">
        <v>22</v>
      </c>
    </row>
    <row r="149" spans="1:3" x14ac:dyDescent="0.2">
      <c r="A149" s="5">
        <v>147</v>
      </c>
      <c r="B149" s="5">
        <f t="shared" ca="1" si="2"/>
        <v>0.75242258722966104</v>
      </c>
      <c r="C149" s="5" t="s">
        <v>21</v>
      </c>
    </row>
    <row r="150" spans="1:3" x14ac:dyDescent="0.2">
      <c r="A150" s="5">
        <v>148</v>
      </c>
      <c r="B150" s="5">
        <f t="shared" ca="1" si="2"/>
        <v>0.83097355064902323</v>
      </c>
      <c r="C150" s="5" t="s">
        <v>22</v>
      </c>
    </row>
    <row r="151" spans="1:3" x14ac:dyDescent="0.2">
      <c r="A151" s="5">
        <v>149</v>
      </c>
      <c r="B151" s="5">
        <f t="shared" ca="1" si="2"/>
        <v>0.75360428294452031</v>
      </c>
      <c r="C151" s="5" t="s">
        <v>22</v>
      </c>
    </row>
    <row r="152" spans="1:3" x14ac:dyDescent="0.2">
      <c r="A152" s="5">
        <v>150</v>
      </c>
      <c r="B152" s="5">
        <f t="shared" ca="1" si="2"/>
        <v>0.69139491100916273</v>
      </c>
      <c r="C152" s="5" t="s">
        <v>22</v>
      </c>
    </row>
    <row r="153" spans="1:3" x14ac:dyDescent="0.2">
      <c r="A153" s="5">
        <v>151</v>
      </c>
      <c r="B153" s="5">
        <f t="shared" ca="1" si="2"/>
        <v>0.6480748462362953</v>
      </c>
      <c r="C153" s="5" t="s">
        <v>21</v>
      </c>
    </row>
    <row r="154" spans="1:3" x14ac:dyDescent="0.2">
      <c r="A154" s="5">
        <v>152</v>
      </c>
      <c r="B154" s="5">
        <f t="shared" ca="1" si="2"/>
        <v>0.65906493873634719</v>
      </c>
      <c r="C154" s="5" t="s">
        <v>21</v>
      </c>
    </row>
    <row r="155" spans="1:3" x14ac:dyDescent="0.2">
      <c r="A155" s="5">
        <v>153</v>
      </c>
      <c r="B155" s="5">
        <f t="shared" ca="1" si="2"/>
        <v>0.56268010145267855</v>
      </c>
      <c r="C155" s="5" t="s">
        <v>21</v>
      </c>
    </row>
    <row r="156" spans="1:3" x14ac:dyDescent="0.2">
      <c r="A156" s="5">
        <v>154</v>
      </c>
      <c r="B156" s="5">
        <f t="shared" ca="1" si="2"/>
        <v>0.64445027705314795</v>
      </c>
      <c r="C156" s="5" t="s">
        <v>22</v>
      </c>
    </row>
    <row r="157" spans="1:3" x14ac:dyDescent="0.2">
      <c r="A157" s="5">
        <v>155</v>
      </c>
      <c r="B157" s="5">
        <f t="shared" ca="1" si="2"/>
        <v>0.61236330280640394</v>
      </c>
      <c r="C157" s="5" t="s">
        <v>21</v>
      </c>
    </row>
    <row r="158" spans="1:3" x14ac:dyDescent="0.2">
      <c r="A158" s="5">
        <v>156</v>
      </c>
      <c r="B158" s="5">
        <f t="shared" ca="1" si="2"/>
        <v>0.72893783997456563</v>
      </c>
      <c r="C158" s="5" t="s">
        <v>21</v>
      </c>
    </row>
    <row r="159" spans="1:3" x14ac:dyDescent="0.2">
      <c r="A159" s="5">
        <v>157</v>
      </c>
      <c r="B159" s="5">
        <f t="shared" ca="1" si="2"/>
        <v>0.29186448618432564</v>
      </c>
      <c r="C159" s="5" t="s">
        <v>22</v>
      </c>
    </row>
    <row r="160" spans="1:3" x14ac:dyDescent="0.2">
      <c r="A160" s="5">
        <v>158</v>
      </c>
      <c r="B160" s="5">
        <f t="shared" ca="1" si="2"/>
        <v>0.60043039697331457</v>
      </c>
      <c r="C160" s="5" t="s">
        <v>22</v>
      </c>
    </row>
    <row r="161" spans="1:3" x14ac:dyDescent="0.2">
      <c r="A161" s="5">
        <v>159</v>
      </c>
      <c r="B161" s="5">
        <f t="shared" ca="1" si="2"/>
        <v>0.76373859947464051</v>
      </c>
      <c r="C161" s="5" t="s">
        <v>21</v>
      </c>
    </row>
    <row r="162" spans="1:3" x14ac:dyDescent="0.2">
      <c r="A162" s="5">
        <v>160</v>
      </c>
      <c r="B162" s="5">
        <f t="shared" ca="1" si="2"/>
        <v>0.65028279564689417</v>
      </c>
      <c r="C162" s="5" t="s">
        <v>21</v>
      </c>
    </row>
    <row r="163" spans="1:3" x14ac:dyDescent="0.2">
      <c r="A163" s="5">
        <v>161</v>
      </c>
      <c r="B163" s="5">
        <f t="shared" ca="1" si="2"/>
        <v>0.6793755511882501</v>
      </c>
      <c r="C163" s="5" t="s">
        <v>21</v>
      </c>
    </row>
    <row r="164" spans="1:3" x14ac:dyDescent="0.2">
      <c r="A164" s="5">
        <v>162</v>
      </c>
      <c r="B164" s="5">
        <f t="shared" ca="1" si="2"/>
        <v>0.45446593774384858</v>
      </c>
      <c r="C164" s="5" t="s">
        <v>22</v>
      </c>
    </row>
    <row r="165" spans="1:3" x14ac:dyDescent="0.2">
      <c r="A165" s="5">
        <v>163</v>
      </c>
      <c r="B165" s="5">
        <f t="shared" ca="1" si="2"/>
        <v>0.61143859748816776</v>
      </c>
      <c r="C165" s="5" t="s">
        <v>22</v>
      </c>
    </row>
    <row r="166" spans="1:3" x14ac:dyDescent="0.2">
      <c r="A166" s="5">
        <v>164</v>
      </c>
      <c r="B166" s="5">
        <f t="shared" ca="1" si="2"/>
        <v>0.89023237836384861</v>
      </c>
      <c r="C166" s="5" t="s">
        <v>22</v>
      </c>
    </row>
    <row r="167" spans="1:3" x14ac:dyDescent="0.2">
      <c r="A167" s="5">
        <v>165</v>
      </c>
      <c r="B167" s="5">
        <f t="shared" ca="1" si="2"/>
        <v>0.82483243333692924</v>
      </c>
      <c r="C167" s="5" t="s">
        <v>22</v>
      </c>
    </row>
    <row r="168" spans="1:3" x14ac:dyDescent="0.2">
      <c r="A168" s="5">
        <v>166</v>
      </c>
      <c r="B168" s="5">
        <f t="shared" ca="1" si="2"/>
        <v>0.65594254420949982</v>
      </c>
      <c r="C168" s="5" t="s">
        <v>21</v>
      </c>
    </row>
    <row r="169" spans="1:3" x14ac:dyDescent="0.2">
      <c r="A169" s="5">
        <v>167</v>
      </c>
      <c r="B169" s="5">
        <f t="shared" ca="1" si="2"/>
        <v>0.80196354889868215</v>
      </c>
      <c r="C169" s="5" t="s">
        <v>21</v>
      </c>
    </row>
    <row r="170" spans="1:3" x14ac:dyDescent="0.2">
      <c r="A170" s="5">
        <v>168</v>
      </c>
      <c r="B170" s="5">
        <f t="shared" ca="1" si="2"/>
        <v>0.78743536518000812</v>
      </c>
      <c r="C170" s="5" t="s">
        <v>21</v>
      </c>
    </row>
    <row r="171" spans="1:3" x14ac:dyDescent="0.2">
      <c r="A171" s="5">
        <v>169</v>
      </c>
      <c r="B171" s="5">
        <f t="shared" ca="1" si="2"/>
        <v>0.30465918943524184</v>
      </c>
      <c r="C171" s="5" t="s">
        <v>22</v>
      </c>
    </row>
    <row r="172" spans="1:3" x14ac:dyDescent="0.2">
      <c r="A172" s="5">
        <v>170</v>
      </c>
      <c r="B172" s="5">
        <f t="shared" ca="1" si="2"/>
        <v>0.61079884224204561</v>
      </c>
      <c r="C172" s="5" t="s">
        <v>22</v>
      </c>
    </row>
    <row r="173" spans="1:3" x14ac:dyDescent="0.2">
      <c r="A173" s="5">
        <v>171</v>
      </c>
      <c r="B173" s="5">
        <f t="shared" ca="1" si="2"/>
        <v>0.65907756191653122</v>
      </c>
      <c r="C173" s="5" t="s">
        <v>21</v>
      </c>
    </row>
    <row r="174" spans="1:3" x14ac:dyDescent="0.2">
      <c r="A174" s="5">
        <v>172</v>
      </c>
      <c r="B174" s="5">
        <f t="shared" ca="1" si="2"/>
        <v>0.65392543296443317</v>
      </c>
      <c r="C174" s="5" t="s">
        <v>21</v>
      </c>
    </row>
    <row r="175" spans="1:3" x14ac:dyDescent="0.2">
      <c r="A175" s="5">
        <v>173</v>
      </c>
      <c r="B175" s="5">
        <f t="shared" ca="1" si="2"/>
        <v>0.63750207607855114</v>
      </c>
      <c r="C175" s="5" t="s">
        <v>21</v>
      </c>
    </row>
    <row r="176" spans="1:3" x14ac:dyDescent="0.2">
      <c r="A176" s="5">
        <v>174</v>
      </c>
      <c r="B176" s="5">
        <f t="shared" ca="1" si="2"/>
        <v>0.61385401955994512</v>
      </c>
      <c r="C176" s="5" t="s">
        <v>22</v>
      </c>
    </row>
    <row r="177" spans="1:3" x14ac:dyDescent="0.2">
      <c r="A177" s="5">
        <v>175</v>
      </c>
      <c r="B177" s="5">
        <f t="shared" ca="1" si="2"/>
        <v>0.77442358816219836</v>
      </c>
      <c r="C177" s="5" t="s">
        <v>21</v>
      </c>
    </row>
    <row r="178" spans="1:3" x14ac:dyDescent="0.2">
      <c r="A178" s="5">
        <v>176</v>
      </c>
      <c r="B178" s="5">
        <f t="shared" ca="1" si="2"/>
        <v>0.7307694574585748</v>
      </c>
      <c r="C178" s="5" t="s">
        <v>21</v>
      </c>
    </row>
    <row r="179" spans="1:3" x14ac:dyDescent="0.2">
      <c r="A179" s="5">
        <v>177</v>
      </c>
      <c r="B179" s="5">
        <f t="shared" ca="1" si="2"/>
        <v>0.61180348515138094</v>
      </c>
      <c r="C179" s="5" t="s">
        <v>22</v>
      </c>
    </row>
    <row r="180" spans="1:3" x14ac:dyDescent="0.2">
      <c r="A180" s="5">
        <v>178</v>
      </c>
      <c r="B180" s="5">
        <f t="shared" ca="1" si="2"/>
        <v>0.53977941802661022</v>
      </c>
      <c r="C180" s="5" t="s">
        <v>22</v>
      </c>
    </row>
    <row r="181" spans="1:3" x14ac:dyDescent="0.2">
      <c r="A181" s="5">
        <v>179</v>
      </c>
      <c r="B181" s="5">
        <f t="shared" ca="1" si="2"/>
        <v>0.69264851529544302</v>
      </c>
      <c r="C181" s="5" t="s">
        <v>21</v>
      </c>
    </row>
    <row r="182" spans="1:3" x14ac:dyDescent="0.2">
      <c r="A182" s="5">
        <v>180</v>
      </c>
      <c r="B182" s="5">
        <f t="shared" ca="1" si="2"/>
        <v>0.81515104766820423</v>
      </c>
      <c r="C182" s="5" t="s">
        <v>21</v>
      </c>
    </row>
    <row r="183" spans="1:3" x14ac:dyDescent="0.2">
      <c r="A183" s="5">
        <v>181</v>
      </c>
      <c r="B183" s="5">
        <f t="shared" ca="1" si="2"/>
        <v>0.88673609059790981</v>
      </c>
      <c r="C183" s="5" t="s">
        <v>21</v>
      </c>
    </row>
    <row r="184" spans="1:3" x14ac:dyDescent="0.2">
      <c r="A184" s="5">
        <v>182</v>
      </c>
      <c r="B184" s="5">
        <f t="shared" ca="1" si="2"/>
        <v>0.68993075661610748</v>
      </c>
      <c r="C184" s="5" t="s">
        <v>21</v>
      </c>
    </row>
    <row r="185" spans="1:3" x14ac:dyDescent="0.2">
      <c r="A185" s="5">
        <v>183</v>
      </c>
      <c r="B185" s="5">
        <f t="shared" ca="1" si="2"/>
        <v>0.47804388656079583</v>
      </c>
      <c r="C185" s="5" t="s">
        <v>22</v>
      </c>
    </row>
    <row r="186" spans="1:3" x14ac:dyDescent="0.2">
      <c r="A186" s="5">
        <v>184</v>
      </c>
      <c r="B186" s="5">
        <f t="shared" ca="1" si="2"/>
        <v>0.81268137606906632</v>
      </c>
      <c r="C186" s="5" t="s">
        <v>21</v>
      </c>
    </row>
    <row r="187" spans="1:3" x14ac:dyDescent="0.2">
      <c r="A187" s="5">
        <v>185</v>
      </c>
      <c r="B187" s="5">
        <f t="shared" ca="1" si="2"/>
        <v>0.92301659002425207</v>
      </c>
      <c r="C187" s="5" t="s">
        <v>22</v>
      </c>
    </row>
    <row r="188" spans="1:3" x14ac:dyDescent="0.2">
      <c r="A188" s="5">
        <v>186</v>
      </c>
      <c r="B188" s="5">
        <f t="shared" ca="1" si="2"/>
        <v>0.58725593960059719</v>
      </c>
      <c r="C188" s="5" t="s">
        <v>21</v>
      </c>
    </row>
    <row r="189" spans="1:3" x14ac:dyDescent="0.2">
      <c r="A189" s="5">
        <v>187</v>
      </c>
      <c r="B189" s="5">
        <f t="shared" ca="1" si="2"/>
        <v>1.0244267590068123</v>
      </c>
      <c r="C189" s="5" t="s">
        <v>22</v>
      </c>
    </row>
    <row r="190" spans="1:3" x14ac:dyDescent="0.2">
      <c r="A190" s="5">
        <v>188</v>
      </c>
      <c r="B190" s="5">
        <f t="shared" ca="1" si="2"/>
        <v>0.85443590067065978</v>
      </c>
      <c r="C190" s="5" t="s">
        <v>21</v>
      </c>
    </row>
    <row r="191" spans="1:3" x14ac:dyDescent="0.2">
      <c r="A191" s="5">
        <v>189</v>
      </c>
      <c r="B191" s="5">
        <f t="shared" ca="1" si="2"/>
        <v>0.64797602041613978</v>
      </c>
      <c r="C191" s="5" t="s">
        <v>21</v>
      </c>
    </row>
    <row r="192" spans="1:3" x14ac:dyDescent="0.2">
      <c r="A192" s="5">
        <v>190</v>
      </c>
      <c r="B192" s="5">
        <f t="shared" ca="1" si="2"/>
        <v>0.71342373966029493</v>
      </c>
      <c r="C192" s="5" t="s">
        <v>22</v>
      </c>
    </row>
    <row r="193" spans="1:3" x14ac:dyDescent="0.2">
      <c r="A193" s="5">
        <v>191</v>
      </c>
      <c r="B193" s="5">
        <f t="shared" ca="1" si="2"/>
        <v>0.82433829565671601</v>
      </c>
      <c r="C193" s="5" t="s">
        <v>21</v>
      </c>
    </row>
    <row r="194" spans="1:3" x14ac:dyDescent="0.2">
      <c r="A194" s="5">
        <v>192</v>
      </c>
      <c r="B194" s="5">
        <f t="shared" ca="1" si="2"/>
        <v>0.54731733727002541</v>
      </c>
      <c r="C194" s="5" t="s">
        <v>22</v>
      </c>
    </row>
    <row r="195" spans="1:3" x14ac:dyDescent="0.2">
      <c r="A195" s="5">
        <v>193</v>
      </c>
      <c r="B195" s="5">
        <f t="shared" ca="1" si="2"/>
        <v>0.61001741342387095</v>
      </c>
      <c r="C195" s="5" t="s">
        <v>21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0.64337229556431685</v>
      </c>
      <c r="C196" s="5" t="s">
        <v>22</v>
      </c>
    </row>
    <row r="197" spans="1:3" x14ac:dyDescent="0.2">
      <c r="A197" s="5">
        <v>195</v>
      </c>
      <c r="B197" s="5">
        <f t="shared" ca="1" si="3"/>
        <v>0.57217544351231464</v>
      </c>
      <c r="C197" s="5" t="s">
        <v>22</v>
      </c>
    </row>
    <row r="198" spans="1:3" x14ac:dyDescent="0.2">
      <c r="A198" s="5">
        <v>196</v>
      </c>
      <c r="B198" s="5">
        <f t="shared" ca="1" si="3"/>
        <v>0.75112761350435509</v>
      </c>
      <c r="C198" s="5" t="s">
        <v>21</v>
      </c>
    </row>
    <row r="199" spans="1:3" x14ac:dyDescent="0.2">
      <c r="A199" s="5">
        <v>197</v>
      </c>
      <c r="B199" s="5">
        <f t="shared" ca="1" si="3"/>
        <v>0.58545536604225401</v>
      </c>
      <c r="C199" s="5" t="s">
        <v>22</v>
      </c>
    </row>
    <row r="200" spans="1:3" x14ac:dyDescent="0.2">
      <c r="A200" s="5">
        <v>198</v>
      </c>
      <c r="B200" s="5">
        <f t="shared" ca="1" si="3"/>
        <v>0.90594654470240044</v>
      </c>
      <c r="C200" s="5" t="s">
        <v>21</v>
      </c>
    </row>
    <row r="201" spans="1:3" x14ac:dyDescent="0.2">
      <c r="A201" s="5">
        <v>199</v>
      </c>
      <c r="B201" s="5">
        <f t="shared" ca="1" si="3"/>
        <v>0.54650803257267999</v>
      </c>
      <c r="C201" s="5" t="s">
        <v>22</v>
      </c>
    </row>
    <row r="202" spans="1:3" x14ac:dyDescent="0.2">
      <c r="A202" s="5">
        <v>200</v>
      </c>
      <c r="B202" s="5">
        <f t="shared" ca="1" si="3"/>
        <v>0.687520249221511</v>
      </c>
      <c r="C202" s="5" t="s">
        <v>21</v>
      </c>
    </row>
    <row r="203" spans="1:3" x14ac:dyDescent="0.2">
      <c r="A203" s="5">
        <v>201</v>
      </c>
      <c r="B203" s="5">
        <f t="shared" ca="1" si="3"/>
        <v>0.59726583303382907</v>
      </c>
      <c r="C203" s="5" t="s">
        <v>22</v>
      </c>
    </row>
    <row r="204" spans="1:3" x14ac:dyDescent="0.2">
      <c r="A204" s="5">
        <v>202</v>
      </c>
      <c r="B204" s="5">
        <f t="shared" ca="1" si="3"/>
        <v>0.57789423271796281</v>
      </c>
      <c r="C204" s="5" t="s">
        <v>21</v>
      </c>
    </row>
    <row r="205" spans="1:3" x14ac:dyDescent="0.2">
      <c r="A205" s="5">
        <v>203</v>
      </c>
      <c r="B205" s="5">
        <f t="shared" ca="1" si="3"/>
        <v>0.93948243631020389</v>
      </c>
      <c r="C205" s="5" t="s">
        <v>22</v>
      </c>
    </row>
    <row r="206" spans="1:3" x14ac:dyDescent="0.2">
      <c r="A206" s="5">
        <v>204</v>
      </c>
      <c r="B206" s="5">
        <f t="shared" ca="1" si="3"/>
        <v>0.79393119803203127</v>
      </c>
      <c r="C206" s="5" t="s">
        <v>22</v>
      </c>
    </row>
    <row r="207" spans="1:3" x14ac:dyDescent="0.2">
      <c r="A207" s="5">
        <v>205</v>
      </c>
      <c r="B207" s="5">
        <f t="shared" ca="1" si="3"/>
        <v>0.52350141925445581</v>
      </c>
      <c r="C207" s="5" t="s">
        <v>22</v>
      </c>
    </row>
    <row r="208" spans="1:3" x14ac:dyDescent="0.2">
      <c r="A208" s="5">
        <v>206</v>
      </c>
      <c r="B208" s="5">
        <f t="shared" ca="1" si="3"/>
        <v>0.77939248746668999</v>
      </c>
      <c r="C208" s="5" t="s">
        <v>21</v>
      </c>
    </row>
    <row r="209" spans="1:3" x14ac:dyDescent="0.2">
      <c r="A209" s="5">
        <v>207</v>
      </c>
      <c r="B209" s="5">
        <f t="shared" ca="1" si="3"/>
        <v>0.64906515529166631</v>
      </c>
      <c r="C209" s="5" t="s">
        <v>21</v>
      </c>
    </row>
    <row r="210" spans="1:3" x14ac:dyDescent="0.2">
      <c r="A210" s="5">
        <v>208</v>
      </c>
      <c r="B210" s="5">
        <f t="shared" ca="1" si="3"/>
        <v>0.63340383847689374</v>
      </c>
      <c r="C210" s="5" t="s">
        <v>21</v>
      </c>
    </row>
    <row r="211" spans="1:3" x14ac:dyDescent="0.2">
      <c r="A211" s="5">
        <v>209</v>
      </c>
      <c r="B211" s="5">
        <f t="shared" ca="1" si="3"/>
        <v>0.65739337374496543</v>
      </c>
      <c r="C211" s="5" t="s">
        <v>22</v>
      </c>
    </row>
    <row r="212" spans="1:3" x14ac:dyDescent="0.2">
      <c r="A212" s="5">
        <v>210</v>
      </c>
      <c r="B212" s="5">
        <f t="shared" ca="1" si="3"/>
        <v>0.75679497228356296</v>
      </c>
      <c r="C212" s="5" t="s">
        <v>22</v>
      </c>
    </row>
    <row r="213" spans="1:3" x14ac:dyDescent="0.2">
      <c r="A213" s="5">
        <v>211</v>
      </c>
      <c r="B213" s="5">
        <f t="shared" ca="1" si="3"/>
        <v>0.66757870826891219</v>
      </c>
      <c r="C213" s="5" t="s">
        <v>22</v>
      </c>
    </row>
    <row r="214" spans="1:3" x14ac:dyDescent="0.2">
      <c r="A214" s="5">
        <v>212</v>
      </c>
      <c r="B214" s="5">
        <f t="shared" ca="1" si="3"/>
        <v>0.42034019645510334</v>
      </c>
      <c r="C214" s="5" t="s">
        <v>22</v>
      </c>
    </row>
    <row r="215" spans="1:3" x14ac:dyDescent="0.2">
      <c r="A215" s="5">
        <v>213</v>
      </c>
      <c r="B215" s="5">
        <f t="shared" ca="1" si="3"/>
        <v>0.76014997819586849</v>
      </c>
      <c r="C215" s="5" t="s">
        <v>22</v>
      </c>
    </row>
    <row r="216" spans="1:3" x14ac:dyDescent="0.2">
      <c r="A216" s="5">
        <v>214</v>
      </c>
      <c r="B216" s="5">
        <f t="shared" ca="1" si="3"/>
        <v>0.88516035237771984</v>
      </c>
      <c r="C216" s="5" t="s">
        <v>22</v>
      </c>
    </row>
    <row r="217" spans="1:3" x14ac:dyDescent="0.2">
      <c r="A217" s="5">
        <v>215</v>
      </c>
      <c r="B217" s="5">
        <f t="shared" ca="1" si="3"/>
        <v>0.74394918944081756</v>
      </c>
      <c r="C217" s="5" t="s">
        <v>21</v>
      </c>
    </row>
    <row r="218" spans="1:3" x14ac:dyDescent="0.2">
      <c r="A218" s="5">
        <v>216</v>
      </c>
      <c r="B218" s="5">
        <f t="shared" ca="1" si="3"/>
        <v>0.88423577019836685</v>
      </c>
      <c r="C218" s="5" t="s">
        <v>21</v>
      </c>
    </row>
    <row r="219" spans="1:3" x14ac:dyDescent="0.2">
      <c r="A219" s="5">
        <v>217</v>
      </c>
      <c r="B219" s="5">
        <f t="shared" ca="1" si="3"/>
        <v>0.71209149287956763</v>
      </c>
      <c r="C219" s="5" t="s">
        <v>21</v>
      </c>
    </row>
    <row r="220" spans="1:3" x14ac:dyDescent="0.2">
      <c r="A220" s="5">
        <v>218</v>
      </c>
      <c r="B220" s="5">
        <f t="shared" ca="1" si="3"/>
        <v>0.32988082161661686</v>
      </c>
      <c r="C220" s="5" t="s">
        <v>22</v>
      </c>
    </row>
    <row r="221" spans="1:3" x14ac:dyDescent="0.2">
      <c r="A221" s="5">
        <v>219</v>
      </c>
      <c r="B221" s="5">
        <f t="shared" ca="1" si="3"/>
        <v>0.81798662591292581</v>
      </c>
      <c r="C221" s="5" t="s">
        <v>21</v>
      </c>
    </row>
    <row r="222" spans="1:3" x14ac:dyDescent="0.2">
      <c r="A222" s="5">
        <v>220</v>
      </c>
      <c r="B222" s="5">
        <f t="shared" ca="1" si="3"/>
        <v>0.67695355040697291</v>
      </c>
      <c r="C222" s="5" t="s">
        <v>22</v>
      </c>
    </row>
    <row r="223" spans="1:3" x14ac:dyDescent="0.2">
      <c r="A223" s="5">
        <v>221</v>
      </c>
      <c r="B223" s="5">
        <f t="shared" ca="1" si="3"/>
        <v>0.64022934174704382</v>
      </c>
      <c r="C223" s="5" t="s">
        <v>21</v>
      </c>
    </row>
    <row r="224" spans="1:3" x14ac:dyDescent="0.2">
      <c r="A224" s="5">
        <v>222</v>
      </c>
      <c r="B224" s="5">
        <f t="shared" ca="1" si="3"/>
        <v>0.72032531848693748</v>
      </c>
      <c r="C224" s="5" t="s">
        <v>21</v>
      </c>
    </row>
    <row r="225" spans="1:3" x14ac:dyDescent="0.2">
      <c r="A225" s="5">
        <v>223</v>
      </c>
      <c r="B225" s="5">
        <f t="shared" ca="1" si="3"/>
        <v>0.56448181527301922</v>
      </c>
      <c r="C225" s="5" t="s">
        <v>22</v>
      </c>
    </row>
    <row r="226" spans="1:3" x14ac:dyDescent="0.2">
      <c r="A226" s="5">
        <v>224</v>
      </c>
      <c r="B226" s="5">
        <f t="shared" ca="1" si="3"/>
        <v>0.76676013595760695</v>
      </c>
      <c r="C226" s="5" t="s">
        <v>22</v>
      </c>
    </row>
    <row r="227" spans="1:3" x14ac:dyDescent="0.2">
      <c r="A227" s="5">
        <v>225</v>
      </c>
      <c r="B227" s="5">
        <f t="shared" ca="1" si="3"/>
        <v>0.5454076132572041</v>
      </c>
      <c r="C227" s="5" t="s">
        <v>21</v>
      </c>
    </row>
    <row r="228" spans="1:3" x14ac:dyDescent="0.2">
      <c r="A228" s="5">
        <v>226</v>
      </c>
      <c r="B228" s="5">
        <f t="shared" ca="1" si="3"/>
        <v>0.59863557902964382</v>
      </c>
      <c r="C228" s="5" t="s">
        <v>22</v>
      </c>
    </row>
    <row r="229" spans="1:3" x14ac:dyDescent="0.2">
      <c r="A229" s="5">
        <v>227</v>
      </c>
      <c r="B229" s="5">
        <f t="shared" ca="1" si="3"/>
        <v>0.62594018230506554</v>
      </c>
      <c r="C229" s="5" t="s">
        <v>22</v>
      </c>
    </row>
    <row r="230" spans="1:3" x14ac:dyDescent="0.2">
      <c r="A230" s="5">
        <v>228</v>
      </c>
      <c r="B230" s="5">
        <f t="shared" ca="1" si="3"/>
        <v>0.44776487165655166</v>
      </c>
      <c r="C230" s="5" t="s">
        <v>22</v>
      </c>
    </row>
    <row r="231" spans="1:3" x14ac:dyDescent="0.2">
      <c r="A231" s="5">
        <v>229</v>
      </c>
      <c r="B231" s="5">
        <f t="shared" ca="1" si="3"/>
        <v>0.56886754414676699</v>
      </c>
      <c r="C231" s="5" t="s">
        <v>22</v>
      </c>
    </row>
    <row r="232" spans="1:3" x14ac:dyDescent="0.2">
      <c r="A232" s="5">
        <v>230</v>
      </c>
      <c r="B232" s="5">
        <f t="shared" ca="1" si="3"/>
        <v>0.68095957418260211</v>
      </c>
      <c r="C232" s="5" t="s">
        <v>21</v>
      </c>
    </row>
    <row r="233" spans="1:3" x14ac:dyDescent="0.2">
      <c r="A233" s="5">
        <v>231</v>
      </c>
      <c r="B233" s="5">
        <f t="shared" ca="1" si="3"/>
        <v>0.60263893338822627</v>
      </c>
      <c r="C233" s="5" t="s">
        <v>21</v>
      </c>
    </row>
    <row r="234" spans="1:3" x14ac:dyDescent="0.2">
      <c r="A234" s="5">
        <v>232</v>
      </c>
      <c r="B234" s="5">
        <f t="shared" ca="1" si="3"/>
        <v>0.76025890526754947</v>
      </c>
      <c r="C234" s="5" t="s">
        <v>22</v>
      </c>
    </row>
    <row r="235" spans="1:3" x14ac:dyDescent="0.2">
      <c r="A235" s="5">
        <v>233</v>
      </c>
      <c r="B235" s="5">
        <f t="shared" ca="1" si="3"/>
        <v>0.64663994723526796</v>
      </c>
      <c r="C235" s="5" t="s">
        <v>22</v>
      </c>
    </row>
    <row r="236" spans="1:3" x14ac:dyDescent="0.2">
      <c r="A236" s="5">
        <v>234</v>
      </c>
      <c r="B236" s="5">
        <f t="shared" ca="1" si="3"/>
        <v>0.47630553462862113</v>
      </c>
      <c r="C236" s="5" t="s">
        <v>21</v>
      </c>
    </row>
    <row r="237" spans="1:3" x14ac:dyDescent="0.2">
      <c r="A237" s="5">
        <v>235</v>
      </c>
      <c r="B237" s="5">
        <f t="shared" ca="1" si="3"/>
        <v>0.72605520029584936</v>
      </c>
      <c r="C237" s="5" t="s">
        <v>22</v>
      </c>
    </row>
    <row r="238" spans="1:3" x14ac:dyDescent="0.2">
      <c r="A238" s="5">
        <v>236</v>
      </c>
      <c r="B238" s="5">
        <f t="shared" ca="1" si="3"/>
        <v>0.73666250276327572</v>
      </c>
      <c r="C238" s="5" t="s">
        <v>21</v>
      </c>
    </row>
    <row r="239" spans="1:3" x14ac:dyDescent="0.2">
      <c r="A239" s="5">
        <v>237</v>
      </c>
      <c r="B239" s="5">
        <f t="shared" ca="1" si="3"/>
        <v>0.56393214509645573</v>
      </c>
      <c r="C239" s="5" t="s">
        <v>22</v>
      </c>
    </row>
    <row r="240" spans="1:3" x14ac:dyDescent="0.2">
      <c r="A240" s="5">
        <v>238</v>
      </c>
      <c r="B240" s="5">
        <f t="shared" ca="1" si="3"/>
        <v>0.62465423432155154</v>
      </c>
      <c r="C240" s="5" t="s">
        <v>21</v>
      </c>
    </row>
    <row r="241" spans="1:3" x14ac:dyDescent="0.2">
      <c r="A241" s="5">
        <v>239</v>
      </c>
      <c r="B241" s="5">
        <f t="shared" ca="1" si="3"/>
        <v>0.82446237291136659</v>
      </c>
      <c r="C241" s="5" t="s">
        <v>22</v>
      </c>
    </row>
    <row r="242" spans="1:3" x14ac:dyDescent="0.2">
      <c r="A242" s="5">
        <v>240</v>
      </c>
      <c r="B242" s="5">
        <f t="shared" ca="1" si="3"/>
        <v>0.73776587926576753</v>
      </c>
      <c r="C242" s="5" t="s">
        <v>22</v>
      </c>
    </row>
    <row r="243" spans="1:3" x14ac:dyDescent="0.2">
      <c r="A243" s="5">
        <v>241</v>
      </c>
      <c r="B243" s="5">
        <f t="shared" ca="1" si="3"/>
        <v>0.73159525334952147</v>
      </c>
      <c r="C243" s="5" t="s">
        <v>21</v>
      </c>
    </row>
    <row r="244" spans="1:3" x14ac:dyDescent="0.2">
      <c r="A244" s="5">
        <v>242</v>
      </c>
      <c r="B244" s="5">
        <f t="shared" ca="1" si="3"/>
        <v>0.5709093676093534</v>
      </c>
      <c r="C244" s="5" t="s">
        <v>21</v>
      </c>
    </row>
    <row r="245" spans="1:3" x14ac:dyDescent="0.2">
      <c r="A245" s="5">
        <v>243</v>
      </c>
      <c r="B245" s="5">
        <f t="shared" ca="1" si="3"/>
        <v>0.63747269076996382</v>
      </c>
      <c r="C245" s="5" t="s">
        <v>21</v>
      </c>
    </row>
    <row r="246" spans="1:3" x14ac:dyDescent="0.2">
      <c r="A246" s="5">
        <v>244</v>
      </c>
      <c r="B246" s="5">
        <f t="shared" ca="1" si="3"/>
        <v>0.61445589320979477</v>
      </c>
      <c r="C246" s="5" t="s">
        <v>22</v>
      </c>
    </row>
    <row r="247" spans="1:3" x14ac:dyDescent="0.2">
      <c r="A247" s="5">
        <v>245</v>
      </c>
      <c r="B247" s="5">
        <f t="shared" ca="1" si="3"/>
        <v>0.87712526688349979</v>
      </c>
      <c r="C247" s="5" t="s">
        <v>21</v>
      </c>
    </row>
    <row r="248" spans="1:3" x14ac:dyDescent="0.2">
      <c r="A248" s="5">
        <v>246</v>
      </c>
      <c r="B248" s="5">
        <f t="shared" ca="1" si="3"/>
        <v>0.68390769852632405</v>
      </c>
      <c r="C248" s="5" t="s">
        <v>21</v>
      </c>
    </row>
    <row r="249" spans="1:3" x14ac:dyDescent="0.2">
      <c r="A249" s="5">
        <v>247</v>
      </c>
      <c r="B249" s="5">
        <f t="shared" ca="1" si="3"/>
        <v>0.49696881320814013</v>
      </c>
      <c r="C249" s="5" t="s">
        <v>22</v>
      </c>
    </row>
    <row r="250" spans="1:3" x14ac:dyDescent="0.2">
      <c r="A250" s="5">
        <v>248</v>
      </c>
      <c r="B250" s="5">
        <f t="shared" ca="1" si="3"/>
        <v>0.62990213393027794</v>
      </c>
      <c r="C250" s="5" t="s">
        <v>21</v>
      </c>
    </row>
    <row r="251" spans="1:3" x14ac:dyDescent="0.2">
      <c r="A251" s="5">
        <v>249</v>
      </c>
      <c r="B251" s="5">
        <f t="shared" ca="1" si="3"/>
        <v>0.5755043548485026</v>
      </c>
      <c r="C251" s="5" t="s">
        <v>22</v>
      </c>
    </row>
    <row r="252" spans="1:3" x14ac:dyDescent="0.2">
      <c r="A252" s="5">
        <v>250</v>
      </c>
      <c r="B252" s="5">
        <f t="shared" ca="1" si="3"/>
        <v>0.62183702085723203</v>
      </c>
      <c r="C252" s="5" t="s">
        <v>21</v>
      </c>
    </row>
    <row r="253" spans="1:3" x14ac:dyDescent="0.2">
      <c r="A253" s="5">
        <v>251</v>
      </c>
      <c r="B253" s="5">
        <f t="shared" ca="1" si="3"/>
        <v>0.70494826554062673</v>
      </c>
      <c r="C253" s="5" t="s">
        <v>22</v>
      </c>
    </row>
    <row r="254" spans="1:3" x14ac:dyDescent="0.2">
      <c r="A254" s="5">
        <v>252</v>
      </c>
      <c r="B254" s="5">
        <f t="shared" ca="1" si="3"/>
        <v>0.80401645636258268</v>
      </c>
      <c r="C254" s="5" t="s">
        <v>21</v>
      </c>
    </row>
    <row r="255" spans="1:3" x14ac:dyDescent="0.2">
      <c r="A255" s="5">
        <v>253</v>
      </c>
      <c r="B255" s="5">
        <f t="shared" ca="1" si="3"/>
        <v>0.70445434993307721</v>
      </c>
      <c r="C255" s="5" t="s">
        <v>21</v>
      </c>
    </row>
    <row r="256" spans="1:3" x14ac:dyDescent="0.2">
      <c r="A256" s="5">
        <v>254</v>
      </c>
      <c r="B256" s="5">
        <f t="shared" ca="1" si="3"/>
        <v>0.70195622746327413</v>
      </c>
      <c r="C256" s="5" t="s">
        <v>21</v>
      </c>
    </row>
    <row r="257" spans="1:3" x14ac:dyDescent="0.2">
      <c r="A257" s="5">
        <v>255</v>
      </c>
      <c r="B257" s="5">
        <f t="shared" ca="1" si="3"/>
        <v>0.50132494446113873</v>
      </c>
      <c r="C257" s="5" t="s">
        <v>22</v>
      </c>
    </row>
    <row r="258" spans="1:3" x14ac:dyDescent="0.2">
      <c r="A258" s="5">
        <v>256</v>
      </c>
      <c r="B258" s="5">
        <f t="shared" ca="1" si="3"/>
        <v>0.58465371248563147</v>
      </c>
      <c r="C258" s="5" t="s">
        <v>22</v>
      </c>
    </row>
    <row r="259" spans="1:3" x14ac:dyDescent="0.2">
      <c r="A259" s="5">
        <v>257</v>
      </c>
      <c r="B259" s="5">
        <f t="shared" ca="1" si="3"/>
        <v>0.72445804161819738</v>
      </c>
      <c r="C259" s="5" t="s">
        <v>22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0.29214492961308058</v>
      </c>
      <c r="C260" s="5" t="s">
        <v>22</v>
      </c>
    </row>
    <row r="261" spans="1:3" x14ac:dyDescent="0.2">
      <c r="A261" s="5">
        <v>259</v>
      </c>
      <c r="B261" s="5">
        <f t="shared" ca="1" si="4"/>
        <v>0.70887285416148205</v>
      </c>
      <c r="C261" s="5" t="s">
        <v>22</v>
      </c>
    </row>
    <row r="262" spans="1:3" x14ac:dyDescent="0.2">
      <c r="A262" s="5">
        <v>260</v>
      </c>
      <c r="B262" s="5">
        <f t="shared" ca="1" si="4"/>
        <v>0.66987605731981748</v>
      </c>
      <c r="C262" s="5" t="s">
        <v>21</v>
      </c>
    </row>
    <row r="263" spans="1:3" x14ac:dyDescent="0.2">
      <c r="A263" s="5">
        <v>261</v>
      </c>
      <c r="B263" s="5">
        <f t="shared" ca="1" si="4"/>
        <v>0.74139493118958777</v>
      </c>
      <c r="C263" s="5" t="s">
        <v>21</v>
      </c>
    </row>
    <row r="264" spans="1:3" x14ac:dyDescent="0.2">
      <c r="A264" s="5">
        <v>262</v>
      </c>
      <c r="B264" s="5">
        <f t="shared" ca="1" si="4"/>
        <v>0.8303780551801323</v>
      </c>
      <c r="C264" s="5" t="s">
        <v>21</v>
      </c>
    </row>
    <row r="265" spans="1:3" x14ac:dyDescent="0.2">
      <c r="A265" s="5">
        <v>263</v>
      </c>
      <c r="B265" s="5">
        <f t="shared" ca="1" si="4"/>
        <v>0.68576820589021448</v>
      </c>
      <c r="C265" s="5" t="s">
        <v>21</v>
      </c>
    </row>
    <row r="266" spans="1:3" x14ac:dyDescent="0.2">
      <c r="A266" s="5">
        <v>264</v>
      </c>
      <c r="B266" s="5">
        <f t="shared" ca="1" si="4"/>
        <v>0.28175462313547317</v>
      </c>
      <c r="C266" s="5" t="s">
        <v>22</v>
      </c>
    </row>
    <row r="267" spans="1:3" x14ac:dyDescent="0.2">
      <c r="A267" s="5">
        <v>265</v>
      </c>
      <c r="B267" s="5">
        <f t="shared" ca="1" si="4"/>
        <v>0.64750959523841556</v>
      </c>
      <c r="C267" s="5" t="s">
        <v>21</v>
      </c>
    </row>
    <row r="268" spans="1:3" x14ac:dyDescent="0.2">
      <c r="A268" s="5">
        <v>266</v>
      </c>
      <c r="B268" s="5">
        <f t="shared" ca="1" si="4"/>
        <v>0.84123934936659095</v>
      </c>
      <c r="C268" s="5" t="s">
        <v>21</v>
      </c>
    </row>
    <row r="269" spans="1:3" x14ac:dyDescent="0.2">
      <c r="A269" s="5">
        <v>267</v>
      </c>
      <c r="B269" s="5">
        <f t="shared" ca="1" si="4"/>
        <v>0.6178023100373361</v>
      </c>
      <c r="C269" s="5" t="s">
        <v>22</v>
      </c>
    </row>
    <row r="270" spans="1:3" x14ac:dyDescent="0.2">
      <c r="A270" s="5">
        <v>268</v>
      </c>
      <c r="B270" s="5">
        <f t="shared" ca="1" si="4"/>
        <v>0.29696808402041275</v>
      </c>
      <c r="C270" s="5" t="s">
        <v>22</v>
      </c>
    </row>
    <row r="271" spans="1:3" x14ac:dyDescent="0.2">
      <c r="A271" s="5">
        <v>269</v>
      </c>
      <c r="B271" s="5">
        <f t="shared" ca="1" si="4"/>
        <v>0.75612900511530567</v>
      </c>
      <c r="C271" s="5" t="s">
        <v>21</v>
      </c>
    </row>
    <row r="272" spans="1:3" x14ac:dyDescent="0.2">
      <c r="A272" s="5">
        <v>270</v>
      </c>
      <c r="B272" s="5">
        <f t="shared" ca="1" si="4"/>
        <v>0.78876286572431153</v>
      </c>
      <c r="C272" s="5" t="s">
        <v>21</v>
      </c>
    </row>
    <row r="273" spans="1:3" x14ac:dyDescent="0.2">
      <c r="A273" s="5">
        <v>271</v>
      </c>
      <c r="B273" s="5">
        <f t="shared" ca="1" si="4"/>
        <v>0.33202042847856061</v>
      </c>
      <c r="C273" s="5" t="s">
        <v>22</v>
      </c>
    </row>
    <row r="274" spans="1:3" x14ac:dyDescent="0.2">
      <c r="A274" s="5">
        <v>272</v>
      </c>
      <c r="B274" s="5">
        <f t="shared" ca="1" si="4"/>
        <v>0.689286858866898</v>
      </c>
      <c r="C274" s="5" t="s">
        <v>22</v>
      </c>
    </row>
    <row r="275" spans="1:3" x14ac:dyDescent="0.2">
      <c r="A275" s="5">
        <v>273</v>
      </c>
      <c r="B275" s="5">
        <f t="shared" ca="1" si="4"/>
        <v>0.66865104221220339</v>
      </c>
      <c r="C275" s="5" t="s">
        <v>21</v>
      </c>
    </row>
    <row r="276" spans="1:3" x14ac:dyDescent="0.2">
      <c r="A276" s="5">
        <v>274</v>
      </c>
      <c r="B276" s="5">
        <f t="shared" ca="1" si="4"/>
        <v>0.72648057758020401</v>
      </c>
      <c r="C276" s="5" t="s">
        <v>22</v>
      </c>
    </row>
    <row r="277" spans="1:3" x14ac:dyDescent="0.2">
      <c r="A277" s="5">
        <v>275</v>
      </c>
      <c r="B277" s="5">
        <f t="shared" ca="1" si="4"/>
        <v>0.38323063846314231</v>
      </c>
      <c r="C277" s="5" t="s">
        <v>22</v>
      </c>
    </row>
    <row r="278" spans="1:3" x14ac:dyDescent="0.2">
      <c r="A278" s="5">
        <v>276</v>
      </c>
      <c r="B278" s="5">
        <f t="shared" ca="1" si="4"/>
        <v>0.58536603416807342</v>
      </c>
      <c r="C278" s="5" t="s">
        <v>21</v>
      </c>
    </row>
    <row r="279" spans="1:3" x14ac:dyDescent="0.2">
      <c r="A279" s="5">
        <v>277</v>
      </c>
      <c r="B279" s="5">
        <f t="shared" ca="1" si="4"/>
        <v>0.59939920233531618</v>
      </c>
      <c r="C279" s="5" t="s">
        <v>21</v>
      </c>
    </row>
    <row r="280" spans="1:3" x14ac:dyDescent="0.2">
      <c r="A280" s="5">
        <v>278</v>
      </c>
      <c r="B280" s="5">
        <f t="shared" ca="1" si="4"/>
        <v>0.57662289267881162</v>
      </c>
      <c r="C280" s="5" t="s">
        <v>22</v>
      </c>
    </row>
    <row r="281" spans="1:3" x14ac:dyDescent="0.2">
      <c r="A281" s="5">
        <v>279</v>
      </c>
      <c r="B281" s="5">
        <f t="shared" ca="1" si="4"/>
        <v>0.6321047524864799</v>
      </c>
      <c r="C281" s="5" t="s">
        <v>22</v>
      </c>
    </row>
    <row r="282" spans="1:3" x14ac:dyDescent="0.2">
      <c r="A282" s="5">
        <v>280</v>
      </c>
      <c r="B282" s="5">
        <f t="shared" ca="1" si="4"/>
        <v>0.72567581117236724</v>
      </c>
      <c r="C282" s="5" t="s">
        <v>22</v>
      </c>
    </row>
    <row r="283" spans="1:3" x14ac:dyDescent="0.2">
      <c r="A283" s="5">
        <v>281</v>
      </c>
      <c r="B283" s="5">
        <f t="shared" ca="1" si="4"/>
        <v>0.53289327770181039</v>
      </c>
      <c r="C283" s="5" t="s">
        <v>22</v>
      </c>
    </row>
    <row r="284" spans="1:3" x14ac:dyDescent="0.2">
      <c r="A284" s="5">
        <v>282</v>
      </c>
      <c r="B284" s="5">
        <f t="shared" ca="1" si="4"/>
        <v>0.60337908433176468</v>
      </c>
      <c r="C284" s="5" t="s">
        <v>21</v>
      </c>
    </row>
    <row r="285" spans="1:3" x14ac:dyDescent="0.2">
      <c r="A285" s="5">
        <v>283</v>
      </c>
      <c r="B285" s="5">
        <f t="shared" ca="1" si="4"/>
        <v>0.67445676804601162</v>
      </c>
      <c r="C285" s="5" t="s">
        <v>21</v>
      </c>
    </row>
    <row r="286" spans="1:3" x14ac:dyDescent="0.2">
      <c r="A286" s="5">
        <v>284</v>
      </c>
      <c r="B286" s="5">
        <f t="shared" ca="1" si="4"/>
        <v>0.82982388013144059</v>
      </c>
      <c r="C286" s="5" t="s">
        <v>21</v>
      </c>
    </row>
    <row r="287" spans="1:3" x14ac:dyDescent="0.2">
      <c r="A287" s="5">
        <v>285</v>
      </c>
      <c r="B287" s="5">
        <f t="shared" ca="1" si="4"/>
        <v>0.49727932268878472</v>
      </c>
      <c r="C287" s="5" t="s">
        <v>22</v>
      </c>
    </row>
    <row r="288" spans="1:3" x14ac:dyDescent="0.2">
      <c r="A288" s="5">
        <v>286</v>
      </c>
      <c r="B288" s="5">
        <f t="shared" ca="1" si="4"/>
        <v>0.77980161210701793</v>
      </c>
      <c r="C288" s="5" t="s">
        <v>21</v>
      </c>
    </row>
    <row r="289" spans="1:3" x14ac:dyDescent="0.2">
      <c r="A289" s="5">
        <v>287</v>
      </c>
      <c r="B289" s="5">
        <f t="shared" ca="1" si="4"/>
        <v>0.69440906131175284</v>
      </c>
      <c r="C289" s="5" t="s">
        <v>21</v>
      </c>
    </row>
    <row r="290" spans="1:3" x14ac:dyDescent="0.2">
      <c r="A290" s="5">
        <v>288</v>
      </c>
      <c r="B290" s="5">
        <f t="shared" ca="1" si="4"/>
        <v>0.67037130670296396</v>
      </c>
      <c r="C290" s="5" t="s">
        <v>21</v>
      </c>
    </row>
    <row r="291" spans="1:3" x14ac:dyDescent="0.2">
      <c r="A291" s="5">
        <v>289</v>
      </c>
      <c r="B291" s="5">
        <f t="shared" ca="1" si="4"/>
        <v>0.80613985051501968</v>
      </c>
      <c r="C291" s="5" t="s">
        <v>21</v>
      </c>
    </row>
    <row r="292" spans="1:3" x14ac:dyDescent="0.2">
      <c r="A292" s="5">
        <v>290</v>
      </c>
      <c r="B292" s="5">
        <f t="shared" ca="1" si="4"/>
        <v>0.56887713745978197</v>
      </c>
      <c r="C292" s="5" t="s">
        <v>22</v>
      </c>
    </row>
    <row r="293" spans="1:3" x14ac:dyDescent="0.2">
      <c r="A293" s="5">
        <v>291</v>
      </c>
      <c r="B293" s="5">
        <f t="shared" ca="1" si="4"/>
        <v>0.80800570779582837</v>
      </c>
      <c r="C293" s="5" t="s">
        <v>21</v>
      </c>
    </row>
    <row r="294" spans="1:3" x14ac:dyDescent="0.2">
      <c r="A294" s="5">
        <v>292</v>
      </c>
      <c r="B294" s="5">
        <f t="shared" ca="1" si="4"/>
        <v>0.44411919468573846</v>
      </c>
      <c r="C294" s="5" t="s">
        <v>22</v>
      </c>
    </row>
    <row r="295" spans="1:3" x14ac:dyDescent="0.2">
      <c r="A295" s="5">
        <v>293</v>
      </c>
      <c r="B295" s="5">
        <f t="shared" ca="1" si="4"/>
        <v>0.54863910887965184</v>
      </c>
      <c r="C295" s="5" t="s">
        <v>21</v>
      </c>
    </row>
    <row r="296" spans="1:3" x14ac:dyDescent="0.2">
      <c r="A296" s="5">
        <v>294</v>
      </c>
      <c r="B296" s="5">
        <f t="shared" ca="1" si="4"/>
        <v>0.63838511704881762</v>
      </c>
      <c r="C296" s="5" t="s">
        <v>22</v>
      </c>
    </row>
    <row r="297" spans="1:3" x14ac:dyDescent="0.2">
      <c r="A297" s="5">
        <v>295</v>
      </c>
      <c r="B297" s="5">
        <f t="shared" ca="1" si="4"/>
        <v>0.55888448224880449</v>
      </c>
      <c r="C297" s="5" t="s">
        <v>22</v>
      </c>
    </row>
    <row r="298" spans="1:3" x14ac:dyDescent="0.2">
      <c r="A298" s="5">
        <v>296</v>
      </c>
      <c r="B298" s="5">
        <f t="shared" ca="1" si="4"/>
        <v>0.79531386289882278</v>
      </c>
      <c r="C298" s="5" t="s">
        <v>21</v>
      </c>
    </row>
    <row r="299" spans="1:3" x14ac:dyDescent="0.2">
      <c r="A299" s="5">
        <v>297</v>
      </c>
      <c r="B299" s="5">
        <f t="shared" ca="1" si="4"/>
        <v>0.82732457270934046</v>
      </c>
      <c r="C299" s="5" t="s">
        <v>21</v>
      </c>
    </row>
    <row r="300" spans="1:3" x14ac:dyDescent="0.2">
      <c r="A300" s="5">
        <v>298</v>
      </c>
      <c r="B300" s="5">
        <f t="shared" ca="1" si="4"/>
        <v>0.72135790487796159</v>
      </c>
      <c r="C300" s="5" t="s">
        <v>22</v>
      </c>
    </row>
    <row r="301" spans="1:3" x14ac:dyDescent="0.2">
      <c r="A301" s="5">
        <v>299</v>
      </c>
      <c r="B301" s="5">
        <f t="shared" ca="1" si="4"/>
        <v>0.795686033648352</v>
      </c>
      <c r="C301" s="5" t="s">
        <v>21</v>
      </c>
    </row>
    <row r="302" spans="1:3" x14ac:dyDescent="0.2">
      <c r="A302" s="5">
        <v>300</v>
      </c>
      <c r="B302" s="5">
        <f t="shared" ca="1" si="4"/>
        <v>0.69509253307345842</v>
      </c>
      <c r="C302" s="5" t="s">
        <v>21</v>
      </c>
    </row>
    <row r="303" spans="1:3" x14ac:dyDescent="0.2">
      <c r="A303" s="5">
        <v>301</v>
      </c>
      <c r="B303" s="5">
        <f t="shared" ca="1" si="4"/>
        <v>0.63769321385107514</v>
      </c>
      <c r="C303" s="5" t="s">
        <v>21</v>
      </c>
    </row>
    <row r="304" spans="1:3" x14ac:dyDescent="0.2">
      <c r="A304" s="5">
        <v>302</v>
      </c>
      <c r="B304" s="5">
        <f t="shared" ca="1" si="4"/>
        <v>0.67842674111029078</v>
      </c>
      <c r="C304" s="5" t="s">
        <v>21</v>
      </c>
    </row>
    <row r="305" spans="1:3" x14ac:dyDescent="0.2">
      <c r="A305" s="5">
        <v>303</v>
      </c>
      <c r="B305" s="5">
        <f t="shared" ca="1" si="4"/>
        <v>0.66180992730798727</v>
      </c>
      <c r="C305" s="5" t="s">
        <v>21</v>
      </c>
    </row>
    <row r="306" spans="1:3" x14ac:dyDescent="0.2">
      <c r="A306" s="5">
        <v>304</v>
      </c>
      <c r="B306" s="5">
        <f t="shared" ca="1" si="4"/>
        <v>0.7921444982927639</v>
      </c>
      <c r="C306" s="5" t="s">
        <v>21</v>
      </c>
    </row>
    <row r="307" spans="1:3" x14ac:dyDescent="0.2">
      <c r="A307" s="5">
        <v>305</v>
      </c>
      <c r="B307" s="5">
        <f t="shared" ca="1" si="4"/>
        <v>0.65701652621493001</v>
      </c>
      <c r="C307" s="5" t="s">
        <v>22</v>
      </c>
    </row>
    <row r="308" spans="1:3" x14ac:dyDescent="0.2">
      <c r="A308" s="5">
        <v>306</v>
      </c>
      <c r="B308" s="5">
        <f t="shared" ca="1" si="4"/>
        <v>0.74661800380264476</v>
      </c>
      <c r="C308" s="5" t="s">
        <v>21</v>
      </c>
    </row>
    <row r="309" spans="1:3" x14ac:dyDescent="0.2">
      <c r="A309" s="5">
        <v>307</v>
      </c>
      <c r="B309" s="5">
        <f t="shared" ca="1" si="4"/>
        <v>0.77527909542179241</v>
      </c>
      <c r="C309" s="5" t="s">
        <v>22</v>
      </c>
    </row>
    <row r="310" spans="1:3" x14ac:dyDescent="0.2">
      <c r="A310" s="5">
        <v>308</v>
      </c>
      <c r="B310" s="5">
        <f t="shared" ca="1" si="4"/>
        <v>0.57333108629218033</v>
      </c>
      <c r="C310" s="5" t="s">
        <v>21</v>
      </c>
    </row>
    <row r="311" spans="1:3" x14ac:dyDescent="0.2">
      <c r="A311" s="5">
        <v>309</v>
      </c>
      <c r="B311" s="5">
        <f t="shared" ca="1" si="4"/>
        <v>0.85367553010343222</v>
      </c>
      <c r="C311" s="5" t="s">
        <v>21</v>
      </c>
    </row>
    <row r="312" spans="1:3" x14ac:dyDescent="0.2">
      <c r="A312" s="5">
        <v>310</v>
      </c>
      <c r="B312" s="5">
        <f t="shared" ca="1" si="4"/>
        <v>0.44235056593928934</v>
      </c>
      <c r="C312" s="5" t="s">
        <v>22</v>
      </c>
    </row>
    <row r="313" spans="1:3" x14ac:dyDescent="0.2">
      <c r="A313" s="5">
        <v>311</v>
      </c>
      <c r="B313" s="5">
        <f t="shared" ca="1" si="4"/>
        <v>0.72628409359563506</v>
      </c>
      <c r="C313" s="5" t="s">
        <v>21</v>
      </c>
    </row>
    <row r="314" spans="1:3" x14ac:dyDescent="0.2">
      <c r="A314" s="5">
        <v>312</v>
      </c>
      <c r="B314" s="5">
        <f t="shared" ca="1" si="4"/>
        <v>0.58714891558873927</v>
      </c>
      <c r="C314" s="5" t="s">
        <v>21</v>
      </c>
    </row>
    <row r="315" spans="1:3" x14ac:dyDescent="0.2">
      <c r="A315" s="5">
        <v>313</v>
      </c>
      <c r="B315" s="5">
        <f t="shared" ca="1" si="4"/>
        <v>0.76234569088526927</v>
      </c>
      <c r="C315" s="5" t="s">
        <v>22</v>
      </c>
    </row>
    <row r="316" spans="1:3" x14ac:dyDescent="0.2">
      <c r="A316" s="5">
        <v>314</v>
      </c>
      <c r="B316" s="5">
        <f t="shared" ca="1" si="4"/>
        <v>0.65261039131339482</v>
      </c>
      <c r="C316" s="5" t="s">
        <v>22</v>
      </c>
    </row>
    <row r="317" spans="1:3" x14ac:dyDescent="0.2">
      <c r="A317" s="5">
        <v>315</v>
      </c>
      <c r="B317" s="5">
        <f t="shared" ca="1" si="4"/>
        <v>0.59127628699950197</v>
      </c>
      <c r="C317" s="5" t="s">
        <v>21</v>
      </c>
    </row>
    <row r="318" spans="1:3" x14ac:dyDescent="0.2">
      <c r="A318" s="5">
        <v>316</v>
      </c>
      <c r="B318" s="5">
        <f t="shared" ca="1" si="4"/>
        <v>0.65567306073839682</v>
      </c>
      <c r="C318" s="5" t="s">
        <v>21</v>
      </c>
    </row>
    <row r="319" spans="1:3" x14ac:dyDescent="0.2">
      <c r="A319" s="5">
        <v>317</v>
      </c>
      <c r="B319" s="5">
        <f t="shared" ca="1" si="4"/>
        <v>0.67067255324626585</v>
      </c>
      <c r="C319" s="5" t="s">
        <v>22</v>
      </c>
    </row>
    <row r="320" spans="1:3" x14ac:dyDescent="0.2">
      <c r="A320" s="5">
        <v>318</v>
      </c>
      <c r="B320" s="5">
        <f t="shared" ca="1" si="4"/>
        <v>0.69523126993773143</v>
      </c>
      <c r="C320" s="5" t="s">
        <v>21</v>
      </c>
    </row>
    <row r="321" spans="1:3" x14ac:dyDescent="0.2">
      <c r="A321" s="5">
        <v>319</v>
      </c>
      <c r="B321" s="5">
        <f t="shared" ca="1" si="4"/>
        <v>0.5435176711596581</v>
      </c>
      <c r="C321" s="5" t="s">
        <v>22</v>
      </c>
    </row>
    <row r="322" spans="1:3" x14ac:dyDescent="0.2">
      <c r="A322" s="5">
        <v>320</v>
      </c>
      <c r="B322" s="5">
        <f t="shared" ca="1" si="4"/>
        <v>0.47126605130929811</v>
      </c>
      <c r="C322" s="5" t="s">
        <v>22</v>
      </c>
    </row>
    <row r="323" spans="1:3" x14ac:dyDescent="0.2">
      <c r="A323" s="5">
        <v>321</v>
      </c>
      <c r="B323" s="5">
        <f t="shared" ca="1" si="4"/>
        <v>0.71087773199502058</v>
      </c>
      <c r="C323" s="5" t="s">
        <v>21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0.87919001380564399</v>
      </c>
      <c r="C324" s="5" t="s">
        <v>21</v>
      </c>
    </row>
    <row r="325" spans="1:3" x14ac:dyDescent="0.2">
      <c r="A325" s="5">
        <v>323</v>
      </c>
      <c r="B325" s="5">
        <f t="shared" ca="1" si="5"/>
        <v>0.74858592194894991</v>
      </c>
      <c r="C325" s="5" t="s">
        <v>21</v>
      </c>
    </row>
    <row r="326" spans="1:3" x14ac:dyDescent="0.2">
      <c r="A326" s="5">
        <v>324</v>
      </c>
      <c r="B326" s="5">
        <f t="shared" ca="1" si="5"/>
        <v>0.8622820413345168</v>
      </c>
      <c r="C326" s="5" t="s">
        <v>22</v>
      </c>
    </row>
    <row r="327" spans="1:3" x14ac:dyDescent="0.2">
      <c r="A327" s="5">
        <v>325</v>
      </c>
      <c r="B327" s="5">
        <f t="shared" ca="1" si="5"/>
        <v>0.47523538870547499</v>
      </c>
      <c r="C327" s="5" t="s">
        <v>22</v>
      </c>
    </row>
    <row r="328" spans="1:3" x14ac:dyDescent="0.2">
      <c r="A328" s="5">
        <v>326</v>
      </c>
      <c r="B328" s="5">
        <f t="shared" ca="1" si="5"/>
        <v>0.79219523685193127</v>
      </c>
      <c r="C328" s="5" t="s">
        <v>21</v>
      </c>
    </row>
    <row r="329" spans="1:3" x14ac:dyDescent="0.2">
      <c r="A329" s="5">
        <v>327</v>
      </c>
      <c r="B329" s="5">
        <f t="shared" ca="1" si="5"/>
        <v>0.56649062867403377</v>
      </c>
      <c r="C329" s="5" t="s">
        <v>22</v>
      </c>
    </row>
    <row r="330" spans="1:3" x14ac:dyDescent="0.2">
      <c r="A330" s="5">
        <v>328</v>
      </c>
      <c r="B330" s="5">
        <f t="shared" ca="1" si="5"/>
        <v>0.60100143713098564</v>
      </c>
      <c r="C330" s="5" t="s">
        <v>22</v>
      </c>
    </row>
    <row r="331" spans="1:3" x14ac:dyDescent="0.2">
      <c r="A331" s="5">
        <v>329</v>
      </c>
      <c r="B331" s="5">
        <f t="shared" ca="1" si="5"/>
        <v>0.6870846155970487</v>
      </c>
      <c r="C331" s="5" t="s">
        <v>21</v>
      </c>
    </row>
    <row r="332" spans="1:3" x14ac:dyDescent="0.2">
      <c r="A332" s="5">
        <v>330</v>
      </c>
      <c r="B332" s="5">
        <f t="shared" ca="1" si="5"/>
        <v>0.64474397796309268</v>
      </c>
      <c r="C332" s="5" t="s">
        <v>22</v>
      </c>
    </row>
    <row r="333" spans="1:3" x14ac:dyDescent="0.2">
      <c r="A333" s="5">
        <v>331</v>
      </c>
      <c r="B333" s="5">
        <f t="shared" ca="1" si="5"/>
        <v>0.64915116313600807</v>
      </c>
      <c r="C333" s="5" t="s">
        <v>22</v>
      </c>
    </row>
    <row r="334" spans="1:3" x14ac:dyDescent="0.2">
      <c r="A334" s="5">
        <v>332</v>
      </c>
      <c r="B334" s="5">
        <f t="shared" ca="1" si="5"/>
        <v>0.6442188272950502</v>
      </c>
      <c r="C334" s="5" t="s">
        <v>21</v>
      </c>
    </row>
    <row r="335" spans="1:3" x14ac:dyDescent="0.2">
      <c r="A335" s="5">
        <v>333</v>
      </c>
      <c r="B335" s="5">
        <f t="shared" ca="1" si="5"/>
        <v>0.7517747500982036</v>
      </c>
      <c r="C335" s="5" t="s">
        <v>22</v>
      </c>
    </row>
    <row r="336" spans="1:3" x14ac:dyDescent="0.2">
      <c r="A336" s="5">
        <v>334</v>
      </c>
      <c r="B336" s="5">
        <f t="shared" ca="1" si="5"/>
        <v>0.33540522507049264</v>
      </c>
      <c r="C336" s="5" t="s">
        <v>22</v>
      </c>
    </row>
    <row r="337" spans="1:3" x14ac:dyDescent="0.2">
      <c r="A337" s="5">
        <v>335</v>
      </c>
      <c r="B337" s="5">
        <f t="shared" ca="1" si="5"/>
        <v>0.62731579984770625</v>
      </c>
      <c r="C337" s="5" t="s">
        <v>22</v>
      </c>
    </row>
    <row r="338" spans="1:3" x14ac:dyDescent="0.2">
      <c r="A338" s="5">
        <v>336</v>
      </c>
      <c r="B338" s="5">
        <f t="shared" ca="1" si="5"/>
        <v>0.55085351632370383</v>
      </c>
      <c r="C338" s="5" t="s">
        <v>21</v>
      </c>
    </row>
    <row r="339" spans="1:3" x14ac:dyDescent="0.2">
      <c r="A339" s="5">
        <v>337</v>
      </c>
      <c r="B339" s="5">
        <f t="shared" ca="1" si="5"/>
        <v>0.73250639884889179</v>
      </c>
      <c r="C339" s="5" t="s">
        <v>21</v>
      </c>
    </row>
    <row r="340" spans="1:3" x14ac:dyDescent="0.2">
      <c r="A340" s="5">
        <v>338</v>
      </c>
      <c r="B340" s="5">
        <f t="shared" ca="1" si="5"/>
        <v>0.68154049431431929</v>
      </c>
      <c r="C340" s="5" t="s">
        <v>21</v>
      </c>
    </row>
    <row r="341" spans="1:3" x14ac:dyDescent="0.2">
      <c r="A341" s="5">
        <v>339</v>
      </c>
      <c r="B341" s="5">
        <f t="shared" ca="1" si="5"/>
        <v>0.58249301681547672</v>
      </c>
      <c r="C341" s="5" t="s">
        <v>22</v>
      </c>
    </row>
    <row r="342" spans="1:3" x14ac:dyDescent="0.2">
      <c r="A342" s="5">
        <v>340</v>
      </c>
      <c r="B342" s="5">
        <f t="shared" ca="1" si="5"/>
        <v>0.67152381936235839</v>
      </c>
      <c r="C342" s="5" t="s">
        <v>22</v>
      </c>
    </row>
    <row r="343" spans="1:3" x14ac:dyDescent="0.2">
      <c r="A343" s="5">
        <v>341</v>
      </c>
      <c r="B343" s="5">
        <f t="shared" ca="1" si="5"/>
        <v>0.75906288709847236</v>
      </c>
      <c r="C343" s="5" t="s">
        <v>22</v>
      </c>
    </row>
    <row r="344" spans="1:3" x14ac:dyDescent="0.2">
      <c r="A344" s="5">
        <v>342</v>
      </c>
      <c r="B344" s="5">
        <f t="shared" ca="1" si="5"/>
        <v>0.54545664673001937</v>
      </c>
      <c r="C344" s="5" t="s">
        <v>22</v>
      </c>
    </row>
    <row r="345" spans="1:3" x14ac:dyDescent="0.2">
      <c r="A345" s="5">
        <v>343</v>
      </c>
      <c r="B345" s="5">
        <f t="shared" ca="1" si="5"/>
        <v>0.66294834551890813</v>
      </c>
      <c r="C345" s="5" t="s">
        <v>21</v>
      </c>
    </row>
    <row r="346" spans="1:3" x14ac:dyDescent="0.2">
      <c r="A346" s="5">
        <v>344</v>
      </c>
      <c r="B346" s="5">
        <f t="shared" ca="1" si="5"/>
        <v>0.65063084050256514</v>
      </c>
      <c r="C346" s="5" t="s">
        <v>21</v>
      </c>
    </row>
    <row r="347" spans="1:3" x14ac:dyDescent="0.2">
      <c r="A347" s="5">
        <v>345</v>
      </c>
      <c r="B347" s="5">
        <f t="shared" ca="1" si="5"/>
        <v>0.6856049535731279</v>
      </c>
      <c r="C347" s="5" t="s">
        <v>22</v>
      </c>
    </row>
    <row r="348" spans="1:3" x14ac:dyDescent="0.2">
      <c r="A348" s="5">
        <v>346</v>
      </c>
      <c r="B348" s="5">
        <f t="shared" ca="1" si="5"/>
        <v>0.52414148326782173</v>
      </c>
      <c r="C348" s="5" t="s">
        <v>21</v>
      </c>
    </row>
    <row r="349" spans="1:3" x14ac:dyDescent="0.2">
      <c r="A349" s="5">
        <v>347</v>
      </c>
      <c r="B349" s="5">
        <f t="shared" ca="1" si="5"/>
        <v>0.5976301520720021</v>
      </c>
      <c r="C349" s="5" t="s">
        <v>22</v>
      </c>
    </row>
    <row r="350" spans="1:3" x14ac:dyDescent="0.2">
      <c r="A350" s="5">
        <v>348</v>
      </c>
      <c r="B350" s="5">
        <f t="shared" ca="1" si="5"/>
        <v>0.64941163709945127</v>
      </c>
      <c r="C350" s="5" t="s">
        <v>21</v>
      </c>
    </row>
    <row r="351" spans="1:3" x14ac:dyDescent="0.2">
      <c r="A351" s="5">
        <v>349</v>
      </c>
      <c r="B351" s="5">
        <f t="shared" ca="1" si="5"/>
        <v>0.52268024663010659</v>
      </c>
      <c r="C351" s="5" t="s">
        <v>21</v>
      </c>
    </row>
    <row r="352" spans="1:3" x14ac:dyDescent="0.2">
      <c r="A352" s="5">
        <v>350</v>
      </c>
      <c r="B352" s="5">
        <f t="shared" ca="1" si="5"/>
        <v>0.85134232533727849</v>
      </c>
      <c r="C352" s="5" t="s">
        <v>22</v>
      </c>
    </row>
    <row r="353" spans="1:3" x14ac:dyDescent="0.2">
      <c r="A353" s="5">
        <v>351</v>
      </c>
      <c r="B353" s="5">
        <f t="shared" ca="1" si="5"/>
        <v>0.77310154055087077</v>
      </c>
      <c r="C353" s="5" t="s">
        <v>22</v>
      </c>
    </row>
    <row r="354" spans="1:3" x14ac:dyDescent="0.2">
      <c r="A354" s="5">
        <v>352</v>
      </c>
      <c r="B354" s="5">
        <f t="shared" ca="1" si="5"/>
        <v>0.5631660137094423</v>
      </c>
      <c r="C354" s="5" t="s">
        <v>22</v>
      </c>
    </row>
    <row r="355" spans="1:3" x14ac:dyDescent="0.2">
      <c r="A355" s="5">
        <v>353</v>
      </c>
      <c r="B355" s="5">
        <f t="shared" ca="1" si="5"/>
        <v>0.59384066448524409</v>
      </c>
      <c r="C355" s="5" t="s">
        <v>21</v>
      </c>
    </row>
    <row r="356" spans="1:3" x14ac:dyDescent="0.2">
      <c r="A356" s="5">
        <v>354</v>
      </c>
      <c r="B356" s="5">
        <f t="shared" ca="1" si="5"/>
        <v>0.65789744366733938</v>
      </c>
      <c r="C356" s="5" t="s">
        <v>21</v>
      </c>
    </row>
    <row r="357" spans="1:3" x14ac:dyDescent="0.2">
      <c r="A357" s="5">
        <v>355</v>
      </c>
      <c r="B357" s="5">
        <f t="shared" ca="1" si="5"/>
        <v>0.70952238740778417</v>
      </c>
      <c r="C357" s="5" t="s">
        <v>21</v>
      </c>
    </row>
    <row r="358" spans="1:3" x14ac:dyDescent="0.2">
      <c r="A358" s="5">
        <v>356</v>
      </c>
      <c r="B358" s="5">
        <f t="shared" ca="1" si="5"/>
        <v>0.65246274525417647</v>
      </c>
      <c r="C358" s="5" t="s">
        <v>21</v>
      </c>
    </row>
    <row r="359" spans="1:3" x14ac:dyDescent="0.2">
      <c r="A359" s="5">
        <v>357</v>
      </c>
      <c r="B359" s="5">
        <f t="shared" ca="1" si="5"/>
        <v>0.37037405629719378</v>
      </c>
      <c r="C359" s="5" t="s">
        <v>22</v>
      </c>
    </row>
    <row r="360" spans="1:3" x14ac:dyDescent="0.2">
      <c r="A360" s="5">
        <v>358</v>
      </c>
      <c r="B360" s="5">
        <f t="shared" ca="1" si="5"/>
        <v>0.60663203153159762</v>
      </c>
      <c r="C360" s="5" t="s">
        <v>21</v>
      </c>
    </row>
    <row r="361" spans="1:3" x14ac:dyDescent="0.2">
      <c r="A361" s="5">
        <v>359</v>
      </c>
      <c r="B361" s="5">
        <f t="shared" ca="1" si="5"/>
        <v>0.71410477669019434</v>
      </c>
      <c r="C361" s="5" t="s">
        <v>22</v>
      </c>
    </row>
    <row r="362" spans="1:3" x14ac:dyDescent="0.2">
      <c r="A362" s="5">
        <v>360</v>
      </c>
      <c r="B362" s="5">
        <f t="shared" ca="1" si="5"/>
        <v>0.79695395705845851</v>
      </c>
      <c r="C362" s="5" t="s">
        <v>22</v>
      </c>
    </row>
    <row r="363" spans="1:3" x14ac:dyDescent="0.2">
      <c r="A363" s="5">
        <v>361</v>
      </c>
      <c r="B363" s="5">
        <f t="shared" ca="1" si="5"/>
        <v>0.69145944836111606</v>
      </c>
      <c r="C363" s="5" t="s">
        <v>21</v>
      </c>
    </row>
    <row r="364" spans="1:3" x14ac:dyDescent="0.2">
      <c r="A364" s="5">
        <v>362</v>
      </c>
      <c r="B364" s="5">
        <f t="shared" ca="1" si="5"/>
        <v>0.71574583131035063</v>
      </c>
      <c r="C364" s="5" t="s">
        <v>21</v>
      </c>
    </row>
    <row r="365" spans="1:3" x14ac:dyDescent="0.2">
      <c r="A365" s="5">
        <v>363</v>
      </c>
      <c r="B365" s="5">
        <f t="shared" ca="1" si="5"/>
        <v>0.58291934728490025</v>
      </c>
      <c r="C365" s="5" t="s">
        <v>22</v>
      </c>
    </row>
    <row r="366" spans="1:3" x14ac:dyDescent="0.2">
      <c r="A366" s="5">
        <v>364</v>
      </c>
      <c r="B366" s="5">
        <f t="shared" ca="1" si="5"/>
        <v>0.60995215787406454</v>
      </c>
      <c r="C366" s="5" t="s">
        <v>21</v>
      </c>
    </row>
    <row r="367" spans="1:3" x14ac:dyDescent="0.2">
      <c r="A367" s="5">
        <v>365</v>
      </c>
      <c r="B367" s="5">
        <f t="shared" ca="1" si="5"/>
        <v>0.62131398579297203</v>
      </c>
      <c r="C367" s="5" t="s">
        <v>22</v>
      </c>
    </row>
    <row r="368" spans="1:3" x14ac:dyDescent="0.2">
      <c r="A368" s="5">
        <v>366</v>
      </c>
      <c r="B368" s="5">
        <f t="shared" ca="1" si="5"/>
        <v>0.67479066533987453</v>
      </c>
      <c r="C368" s="5" t="s">
        <v>22</v>
      </c>
    </row>
    <row r="369" spans="1:3" x14ac:dyDescent="0.2">
      <c r="A369" s="5">
        <v>367</v>
      </c>
      <c r="B369" s="5">
        <f t="shared" ca="1" si="5"/>
        <v>0.54453935872346504</v>
      </c>
      <c r="C369" s="5" t="s">
        <v>21</v>
      </c>
    </row>
    <row r="370" spans="1:3" x14ac:dyDescent="0.2">
      <c r="A370" s="5">
        <v>368</v>
      </c>
      <c r="B370" s="5">
        <f t="shared" ca="1" si="5"/>
        <v>0.79544370254776775</v>
      </c>
      <c r="C370" s="5" t="s">
        <v>21</v>
      </c>
    </row>
    <row r="371" spans="1:3" x14ac:dyDescent="0.2">
      <c r="A371" s="5">
        <v>369</v>
      </c>
      <c r="B371" s="5">
        <f t="shared" ca="1" si="5"/>
        <v>0.60734334862389161</v>
      </c>
      <c r="C371" s="5" t="s">
        <v>22</v>
      </c>
    </row>
    <row r="372" spans="1:3" x14ac:dyDescent="0.2">
      <c r="A372" s="5">
        <v>370</v>
      </c>
      <c r="B372" s="5">
        <f t="shared" ca="1" si="5"/>
        <v>0.76040760110924821</v>
      </c>
      <c r="C372" s="5" t="s">
        <v>21</v>
      </c>
    </row>
    <row r="373" spans="1:3" x14ac:dyDescent="0.2">
      <c r="A373" s="5">
        <v>371</v>
      </c>
      <c r="B373" s="5">
        <f t="shared" ca="1" si="5"/>
        <v>0.74676365008522794</v>
      </c>
      <c r="C373" s="5" t="s">
        <v>21</v>
      </c>
    </row>
    <row r="374" spans="1:3" x14ac:dyDescent="0.2">
      <c r="A374" s="5">
        <v>372</v>
      </c>
      <c r="B374" s="5">
        <f t="shared" ca="1" si="5"/>
        <v>0.56117160113642373</v>
      </c>
      <c r="C374" s="5" t="s">
        <v>22</v>
      </c>
    </row>
    <row r="375" spans="1:3" x14ac:dyDescent="0.2">
      <c r="A375" s="5">
        <v>373</v>
      </c>
      <c r="B375" s="5">
        <f t="shared" ca="1" si="5"/>
        <v>0.617164482572785</v>
      </c>
      <c r="C375" s="5" t="s">
        <v>21</v>
      </c>
    </row>
    <row r="376" spans="1:3" x14ac:dyDescent="0.2">
      <c r="A376" s="5">
        <v>374</v>
      </c>
      <c r="B376" s="5">
        <f t="shared" ca="1" si="5"/>
        <v>0.71479148359978295</v>
      </c>
      <c r="C376" s="5" t="s">
        <v>21</v>
      </c>
    </row>
    <row r="377" spans="1:3" x14ac:dyDescent="0.2">
      <c r="A377" s="5">
        <v>375</v>
      </c>
      <c r="B377" s="5">
        <f t="shared" ca="1" si="5"/>
        <v>0.66438894022211781</v>
      </c>
      <c r="C377" s="5" t="s">
        <v>22</v>
      </c>
    </row>
    <row r="378" spans="1:3" x14ac:dyDescent="0.2">
      <c r="A378" s="5">
        <v>376</v>
      </c>
      <c r="B378" s="5">
        <f t="shared" ca="1" si="5"/>
        <v>0.57803903540440316</v>
      </c>
      <c r="C378" s="5" t="s">
        <v>21</v>
      </c>
    </row>
    <row r="379" spans="1:3" x14ac:dyDescent="0.2">
      <c r="A379" s="5">
        <v>377</v>
      </c>
      <c r="B379" s="5">
        <f t="shared" ca="1" si="5"/>
        <v>0.75200539093637586</v>
      </c>
      <c r="C379" s="5" t="s">
        <v>21</v>
      </c>
    </row>
    <row r="380" spans="1:3" x14ac:dyDescent="0.2">
      <c r="A380" s="5">
        <v>378</v>
      </c>
      <c r="B380" s="5">
        <f t="shared" ca="1" si="5"/>
        <v>0.69764652113315517</v>
      </c>
      <c r="C380" s="5" t="s">
        <v>21</v>
      </c>
    </row>
    <row r="381" spans="1:3" x14ac:dyDescent="0.2">
      <c r="A381" s="5">
        <v>379</v>
      </c>
      <c r="B381" s="5">
        <f t="shared" ca="1" si="5"/>
        <v>0.65335860029616022</v>
      </c>
      <c r="C381" s="5" t="s">
        <v>21</v>
      </c>
    </row>
    <row r="382" spans="1:3" x14ac:dyDescent="0.2">
      <c r="A382" s="5">
        <v>380</v>
      </c>
      <c r="B382" s="5">
        <f t="shared" ca="1" si="5"/>
        <v>0.62251719664436633</v>
      </c>
      <c r="C382" s="5" t="s">
        <v>21</v>
      </c>
    </row>
    <row r="383" spans="1:3" x14ac:dyDescent="0.2">
      <c r="A383" s="5">
        <v>381</v>
      </c>
      <c r="B383" s="5">
        <f t="shared" ca="1" si="5"/>
        <v>0.67157742336178694</v>
      </c>
      <c r="C383" s="5" t="s">
        <v>21</v>
      </c>
    </row>
    <row r="384" spans="1:3" x14ac:dyDescent="0.2">
      <c r="A384" s="5">
        <v>382</v>
      </c>
      <c r="B384" s="5">
        <f t="shared" ca="1" si="5"/>
        <v>0.62153517172390882</v>
      </c>
      <c r="C384" s="5" t="s">
        <v>21</v>
      </c>
    </row>
    <row r="385" spans="1:3" x14ac:dyDescent="0.2">
      <c r="A385" s="5">
        <v>383</v>
      </c>
      <c r="B385" s="5">
        <f t="shared" ca="1" si="5"/>
        <v>0.45748551762304879</v>
      </c>
      <c r="C385" s="5" t="s">
        <v>22</v>
      </c>
    </row>
    <row r="386" spans="1:3" x14ac:dyDescent="0.2">
      <c r="A386" s="5">
        <v>384</v>
      </c>
      <c r="B386" s="5">
        <f t="shared" ca="1" si="5"/>
        <v>0.75803381694490479</v>
      </c>
      <c r="C386" s="5" t="s">
        <v>21</v>
      </c>
    </row>
    <row r="387" spans="1:3" x14ac:dyDescent="0.2">
      <c r="A387" s="5">
        <v>385</v>
      </c>
      <c r="B387" s="5">
        <f t="shared" ca="1" si="5"/>
        <v>0.53997928831880893</v>
      </c>
      <c r="C387" s="5" t="s">
        <v>22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0.72374295705543634</v>
      </c>
      <c r="C388" s="5" t="s">
        <v>22</v>
      </c>
    </row>
    <row r="389" spans="1:3" x14ac:dyDescent="0.2">
      <c r="A389" s="5">
        <v>387</v>
      </c>
      <c r="B389" s="5">
        <f t="shared" ca="1" si="6"/>
        <v>0.35044440057468768</v>
      </c>
      <c r="C389" s="5" t="s">
        <v>22</v>
      </c>
    </row>
    <row r="390" spans="1:3" x14ac:dyDescent="0.2">
      <c r="A390" s="5">
        <v>388</v>
      </c>
      <c r="B390" s="5">
        <f t="shared" ca="1" si="6"/>
        <v>0.55344414293803568</v>
      </c>
      <c r="C390" s="5" t="s">
        <v>22</v>
      </c>
    </row>
    <row r="391" spans="1:3" x14ac:dyDescent="0.2">
      <c r="A391" s="5">
        <v>389</v>
      </c>
      <c r="B391" s="5">
        <f t="shared" ca="1" si="6"/>
        <v>0.61323457124463676</v>
      </c>
      <c r="C391" s="5" t="s">
        <v>22</v>
      </c>
    </row>
    <row r="392" spans="1:3" x14ac:dyDescent="0.2">
      <c r="A392" s="5">
        <v>390</v>
      </c>
      <c r="B392" s="5">
        <f t="shared" ca="1" si="6"/>
        <v>0.82161644727084127</v>
      </c>
      <c r="C392" s="5" t="s">
        <v>21</v>
      </c>
    </row>
    <row r="393" spans="1:3" x14ac:dyDescent="0.2">
      <c r="A393" s="5">
        <v>391</v>
      </c>
      <c r="B393" s="5">
        <f t="shared" ca="1" si="6"/>
        <v>0.62336230278525318</v>
      </c>
      <c r="C393" s="5" t="s">
        <v>21</v>
      </c>
    </row>
    <row r="394" spans="1:3" x14ac:dyDescent="0.2">
      <c r="A394" s="5">
        <v>392</v>
      </c>
      <c r="B394" s="5">
        <f t="shared" ca="1" si="6"/>
        <v>0.47481245903170155</v>
      </c>
      <c r="C394" s="5" t="s">
        <v>22</v>
      </c>
    </row>
    <row r="395" spans="1:3" x14ac:dyDescent="0.2">
      <c r="A395" s="5">
        <v>393</v>
      </c>
      <c r="B395" s="5">
        <f t="shared" ca="1" si="6"/>
        <v>0.47617554880385621</v>
      </c>
      <c r="C395" s="5" t="s">
        <v>22</v>
      </c>
    </row>
    <row r="396" spans="1:3" x14ac:dyDescent="0.2">
      <c r="A396" s="5">
        <v>394</v>
      </c>
      <c r="B396" s="5">
        <f t="shared" ca="1" si="6"/>
        <v>0.73330135615584247</v>
      </c>
      <c r="C396" s="5" t="s">
        <v>22</v>
      </c>
    </row>
    <row r="397" spans="1:3" x14ac:dyDescent="0.2">
      <c r="A397" s="5">
        <v>395</v>
      </c>
      <c r="B397" s="5">
        <f t="shared" ca="1" si="6"/>
        <v>0.68840944000828264</v>
      </c>
      <c r="C397" s="5" t="s">
        <v>21</v>
      </c>
    </row>
    <row r="398" spans="1:3" x14ac:dyDescent="0.2">
      <c r="A398" s="5">
        <v>396</v>
      </c>
      <c r="B398" s="5">
        <f t="shared" ca="1" si="6"/>
        <v>0.64380806609465591</v>
      </c>
      <c r="C398" s="5" t="s">
        <v>21</v>
      </c>
    </row>
    <row r="399" spans="1:3" x14ac:dyDescent="0.2">
      <c r="A399" s="5">
        <v>397</v>
      </c>
      <c r="B399" s="5">
        <f t="shared" ca="1" si="6"/>
        <v>0.65667643457149882</v>
      </c>
      <c r="C399" s="5" t="s">
        <v>22</v>
      </c>
    </row>
    <row r="400" spans="1:3" x14ac:dyDescent="0.2">
      <c r="A400" s="5">
        <v>398</v>
      </c>
      <c r="B400" s="5">
        <f t="shared" ca="1" si="6"/>
        <v>0.70338606122236946</v>
      </c>
      <c r="C400" s="5" t="s">
        <v>21</v>
      </c>
    </row>
    <row r="401" spans="1:3" x14ac:dyDescent="0.2">
      <c r="A401" s="5">
        <v>399</v>
      </c>
      <c r="B401" s="5">
        <f t="shared" ca="1" si="6"/>
        <v>0.70820723199699454</v>
      </c>
      <c r="C401" s="5" t="s">
        <v>22</v>
      </c>
    </row>
    <row r="402" spans="1:3" x14ac:dyDescent="0.2">
      <c r="A402" s="5">
        <v>400</v>
      </c>
      <c r="B402" s="5">
        <f t="shared" ca="1" si="6"/>
        <v>0.73149425236657084</v>
      </c>
      <c r="C402" s="5" t="s">
        <v>21</v>
      </c>
    </row>
    <row r="403" spans="1:3" x14ac:dyDescent="0.2">
      <c r="A403" s="5">
        <v>401</v>
      </c>
      <c r="B403" s="5">
        <f t="shared" ca="1" si="6"/>
        <v>0.55391316443411942</v>
      </c>
      <c r="C403" s="5" t="s">
        <v>22</v>
      </c>
    </row>
    <row r="404" spans="1:3" x14ac:dyDescent="0.2">
      <c r="A404" s="5">
        <v>402</v>
      </c>
      <c r="B404" s="5">
        <f t="shared" ca="1" si="6"/>
        <v>0.52104919046750187</v>
      </c>
      <c r="C404" s="5" t="s">
        <v>22</v>
      </c>
    </row>
    <row r="405" spans="1:3" x14ac:dyDescent="0.2">
      <c r="A405" s="5">
        <v>403</v>
      </c>
      <c r="B405" s="5">
        <f t="shared" ca="1" si="6"/>
        <v>0.7505726490388237</v>
      </c>
      <c r="C405" s="5" t="s">
        <v>22</v>
      </c>
    </row>
    <row r="406" spans="1:3" x14ac:dyDescent="0.2">
      <c r="A406" s="5">
        <v>404</v>
      </c>
      <c r="B406" s="5">
        <f t="shared" ca="1" si="6"/>
        <v>0.7831053304816199</v>
      </c>
      <c r="C406" s="5" t="s">
        <v>21</v>
      </c>
    </row>
    <row r="407" spans="1:3" x14ac:dyDescent="0.2">
      <c r="A407" s="5">
        <v>405</v>
      </c>
      <c r="B407" s="5">
        <f t="shared" ca="1" si="6"/>
        <v>0.61365552713171301</v>
      </c>
      <c r="C407" s="5" t="s">
        <v>21</v>
      </c>
    </row>
    <row r="408" spans="1:3" x14ac:dyDescent="0.2">
      <c r="A408" s="5">
        <v>406</v>
      </c>
      <c r="B408" s="5">
        <f t="shared" ca="1" si="6"/>
        <v>0.45297650889382302</v>
      </c>
      <c r="C408" s="5" t="s">
        <v>22</v>
      </c>
    </row>
    <row r="409" spans="1:3" x14ac:dyDescent="0.2">
      <c r="A409" s="5">
        <v>407</v>
      </c>
      <c r="B409" s="5">
        <f t="shared" ca="1" si="6"/>
        <v>0.41275591377510368</v>
      </c>
      <c r="C409" s="5" t="s">
        <v>22</v>
      </c>
    </row>
    <row r="410" spans="1:3" x14ac:dyDescent="0.2">
      <c r="A410" s="5">
        <v>408</v>
      </c>
      <c r="B410" s="5">
        <f t="shared" ca="1" si="6"/>
        <v>0.85498190818569175</v>
      </c>
      <c r="C410" s="5" t="s">
        <v>21</v>
      </c>
    </row>
    <row r="411" spans="1:3" x14ac:dyDescent="0.2">
      <c r="A411" s="5">
        <v>409</v>
      </c>
      <c r="B411" s="5">
        <f t="shared" ca="1" si="6"/>
        <v>0.68017869192766756</v>
      </c>
      <c r="C411" s="5" t="s">
        <v>21</v>
      </c>
    </row>
    <row r="412" spans="1:3" x14ac:dyDescent="0.2">
      <c r="A412" s="5">
        <v>410</v>
      </c>
      <c r="B412" s="5">
        <f t="shared" ca="1" si="6"/>
        <v>0.72587805748805301</v>
      </c>
      <c r="C412" s="5" t="s">
        <v>21</v>
      </c>
    </row>
    <row r="413" spans="1:3" x14ac:dyDescent="0.2">
      <c r="A413" s="5">
        <v>411</v>
      </c>
      <c r="B413" s="5">
        <f t="shared" ca="1" si="6"/>
        <v>0.74521946835278785</v>
      </c>
      <c r="C413" s="5" t="s">
        <v>22</v>
      </c>
    </row>
    <row r="414" spans="1:3" x14ac:dyDescent="0.2">
      <c r="A414" s="5">
        <v>412</v>
      </c>
      <c r="B414" s="5">
        <f t="shared" ca="1" si="6"/>
        <v>0.67476613184542122</v>
      </c>
      <c r="C414" s="5" t="s">
        <v>22</v>
      </c>
    </row>
    <row r="415" spans="1:3" x14ac:dyDescent="0.2">
      <c r="A415" s="5">
        <v>413</v>
      </c>
      <c r="B415" s="5">
        <f t="shared" ca="1" si="6"/>
        <v>0.66140590459895021</v>
      </c>
      <c r="C415" s="5" t="s">
        <v>21</v>
      </c>
    </row>
    <row r="416" spans="1:3" x14ac:dyDescent="0.2">
      <c r="A416" s="5">
        <v>414</v>
      </c>
      <c r="B416" s="5">
        <f t="shared" ca="1" si="6"/>
        <v>0.6281769311837111</v>
      </c>
      <c r="C416" s="5" t="s">
        <v>21</v>
      </c>
    </row>
    <row r="417" spans="1:3" x14ac:dyDescent="0.2">
      <c r="A417" s="5">
        <v>415</v>
      </c>
      <c r="B417" s="5">
        <f t="shared" ca="1" si="6"/>
        <v>0.82787848152358345</v>
      </c>
      <c r="C417" s="5" t="s">
        <v>22</v>
      </c>
    </row>
    <row r="418" spans="1:3" x14ac:dyDescent="0.2">
      <c r="A418" s="5">
        <v>416</v>
      </c>
      <c r="B418" s="5">
        <f t="shared" ca="1" si="6"/>
        <v>0.64531573180161106</v>
      </c>
      <c r="C418" s="5" t="s">
        <v>21</v>
      </c>
    </row>
    <row r="419" spans="1:3" x14ac:dyDescent="0.2">
      <c r="A419" s="5">
        <v>417</v>
      </c>
      <c r="B419" s="5">
        <f t="shared" ca="1" si="6"/>
        <v>0.62462673529169488</v>
      </c>
      <c r="C419" s="5" t="s">
        <v>21</v>
      </c>
    </row>
    <row r="420" spans="1:3" x14ac:dyDescent="0.2">
      <c r="A420" s="5">
        <v>418</v>
      </c>
      <c r="B420" s="5">
        <f t="shared" ca="1" si="6"/>
        <v>0.68597537189203794</v>
      </c>
      <c r="C420" s="5" t="s">
        <v>22</v>
      </c>
    </row>
    <row r="421" spans="1:3" x14ac:dyDescent="0.2">
      <c r="A421" s="5">
        <v>419</v>
      </c>
      <c r="B421" s="5">
        <f t="shared" ca="1" si="6"/>
        <v>0.45147550903860478</v>
      </c>
      <c r="C421" s="5" t="s">
        <v>22</v>
      </c>
    </row>
    <row r="422" spans="1:3" x14ac:dyDescent="0.2">
      <c r="A422" s="5">
        <v>420</v>
      </c>
      <c r="B422" s="5">
        <f t="shared" ca="1" si="6"/>
        <v>0.69236209768360679</v>
      </c>
      <c r="C422" s="5" t="s">
        <v>21</v>
      </c>
    </row>
    <row r="423" spans="1:3" x14ac:dyDescent="0.2">
      <c r="A423" s="5">
        <v>421</v>
      </c>
      <c r="B423" s="5">
        <f t="shared" ca="1" si="6"/>
        <v>0.57545336311053452</v>
      </c>
      <c r="C423" s="5" t="s">
        <v>21</v>
      </c>
    </row>
    <row r="424" spans="1:3" x14ac:dyDescent="0.2">
      <c r="A424" s="5">
        <v>422</v>
      </c>
      <c r="B424" s="5">
        <f t="shared" ca="1" si="6"/>
        <v>0.5041384600664981</v>
      </c>
      <c r="C424" s="5" t="s">
        <v>22</v>
      </c>
    </row>
    <row r="425" spans="1:3" x14ac:dyDescent="0.2">
      <c r="A425" s="5">
        <v>423</v>
      </c>
      <c r="B425" s="5">
        <f t="shared" ca="1" si="6"/>
        <v>0.79698404956351698</v>
      </c>
      <c r="C425" s="5" t="s">
        <v>22</v>
      </c>
    </row>
    <row r="426" spans="1:3" x14ac:dyDescent="0.2">
      <c r="A426" s="5">
        <v>424</v>
      </c>
      <c r="B426" s="5">
        <f t="shared" ca="1" si="6"/>
        <v>0.84229031802363208</v>
      </c>
      <c r="C426" s="5" t="s">
        <v>22</v>
      </c>
    </row>
    <row r="427" spans="1:3" x14ac:dyDescent="0.2">
      <c r="A427" s="5">
        <v>425</v>
      </c>
      <c r="B427" s="5">
        <f t="shared" ca="1" si="6"/>
        <v>0.70586783990111401</v>
      </c>
      <c r="C427" s="5" t="s">
        <v>21</v>
      </c>
    </row>
    <row r="428" spans="1:3" x14ac:dyDescent="0.2">
      <c r="A428" s="5">
        <v>426</v>
      </c>
      <c r="B428" s="5">
        <f t="shared" ca="1" si="6"/>
        <v>0.77618536736571997</v>
      </c>
      <c r="C428" s="5" t="s">
        <v>22</v>
      </c>
    </row>
    <row r="429" spans="1:3" x14ac:dyDescent="0.2">
      <c r="A429" s="5">
        <v>427</v>
      </c>
      <c r="B429" s="5">
        <f t="shared" ca="1" si="6"/>
        <v>0.87541694339169696</v>
      </c>
      <c r="C429" s="5" t="s">
        <v>21</v>
      </c>
    </row>
    <row r="430" spans="1:3" x14ac:dyDescent="0.2">
      <c r="A430" s="5">
        <v>428</v>
      </c>
      <c r="B430" s="5">
        <f t="shared" ca="1" si="6"/>
        <v>0.63187519960660898</v>
      </c>
      <c r="C430" s="5" t="s">
        <v>22</v>
      </c>
    </row>
    <row r="431" spans="1:3" x14ac:dyDescent="0.2">
      <c r="A431" s="5">
        <v>429</v>
      </c>
      <c r="B431" s="5">
        <f t="shared" ca="1" si="6"/>
        <v>0.53353602444418069</v>
      </c>
      <c r="C431" s="5" t="s">
        <v>22</v>
      </c>
    </row>
    <row r="432" spans="1:3" x14ac:dyDescent="0.2">
      <c r="A432" s="5">
        <v>430</v>
      </c>
      <c r="B432" s="5">
        <f t="shared" ca="1" si="6"/>
        <v>0.64852154558873709</v>
      </c>
      <c r="C432" s="5" t="s">
        <v>21</v>
      </c>
    </row>
    <row r="433" spans="1:3" x14ac:dyDescent="0.2">
      <c r="A433" s="5">
        <v>431</v>
      </c>
      <c r="B433" s="5">
        <f t="shared" ca="1" si="6"/>
        <v>0.75808285413037713</v>
      </c>
      <c r="C433" s="5" t="s">
        <v>21</v>
      </c>
    </row>
    <row r="434" spans="1:3" x14ac:dyDescent="0.2">
      <c r="A434" s="5">
        <v>432</v>
      </c>
      <c r="B434" s="5">
        <f t="shared" ca="1" si="6"/>
        <v>0.54349678430336457</v>
      </c>
      <c r="C434" s="5" t="s">
        <v>22</v>
      </c>
    </row>
    <row r="435" spans="1:3" x14ac:dyDescent="0.2">
      <c r="A435" s="5">
        <v>433</v>
      </c>
      <c r="B435" s="5">
        <f t="shared" ca="1" si="6"/>
        <v>0.79358091091126426</v>
      </c>
      <c r="C435" s="5" t="s">
        <v>21</v>
      </c>
    </row>
    <row r="436" spans="1:3" x14ac:dyDescent="0.2">
      <c r="A436" s="5">
        <v>434</v>
      </c>
      <c r="B436" s="5">
        <f t="shared" ca="1" si="6"/>
        <v>0.77222505548831732</v>
      </c>
      <c r="C436" s="5" t="s">
        <v>22</v>
      </c>
    </row>
    <row r="437" spans="1:3" x14ac:dyDescent="0.2">
      <c r="A437" s="5">
        <v>435</v>
      </c>
      <c r="B437" s="5">
        <f t="shared" ca="1" si="6"/>
        <v>0.55477780138076038</v>
      </c>
      <c r="C437" s="5" t="s">
        <v>21</v>
      </c>
    </row>
    <row r="438" spans="1:3" x14ac:dyDescent="0.2">
      <c r="A438" s="5">
        <v>436</v>
      </c>
      <c r="B438" s="5">
        <f t="shared" ca="1" si="6"/>
        <v>0.87273130846534164</v>
      </c>
      <c r="C438" s="5" t="s">
        <v>21</v>
      </c>
    </row>
    <row r="439" spans="1:3" x14ac:dyDescent="0.2">
      <c r="A439" s="5">
        <v>437</v>
      </c>
      <c r="B439" s="5">
        <f t="shared" ca="1" si="6"/>
        <v>0.52439239896897594</v>
      </c>
      <c r="C439" s="5" t="s">
        <v>22</v>
      </c>
    </row>
    <row r="440" spans="1:3" x14ac:dyDescent="0.2">
      <c r="A440" s="5">
        <v>438</v>
      </c>
      <c r="B440" s="5">
        <f t="shared" ca="1" si="6"/>
        <v>0.67337464685061532</v>
      </c>
      <c r="C440" s="5" t="s">
        <v>21</v>
      </c>
    </row>
    <row r="441" spans="1:3" x14ac:dyDescent="0.2">
      <c r="A441" s="5">
        <v>439</v>
      </c>
      <c r="B441" s="5">
        <f t="shared" ca="1" si="6"/>
        <v>0.85819954571565604</v>
      </c>
      <c r="C441" s="5" t="s">
        <v>21</v>
      </c>
    </row>
    <row r="442" spans="1:3" x14ac:dyDescent="0.2">
      <c r="A442" s="5">
        <v>440</v>
      </c>
      <c r="B442" s="5">
        <f t="shared" ca="1" si="6"/>
        <v>0.62315218477939049</v>
      </c>
      <c r="C442" s="5" t="s">
        <v>21</v>
      </c>
    </row>
    <row r="443" spans="1:3" x14ac:dyDescent="0.2">
      <c r="A443" s="5">
        <v>441</v>
      </c>
      <c r="B443" s="5">
        <f t="shared" ca="1" si="6"/>
        <v>0.41666541584119943</v>
      </c>
      <c r="C443" s="5" t="s">
        <v>21</v>
      </c>
    </row>
    <row r="444" spans="1:3" x14ac:dyDescent="0.2">
      <c r="A444" s="5">
        <v>442</v>
      </c>
      <c r="B444" s="5">
        <f t="shared" ca="1" si="6"/>
        <v>0.76310592171072467</v>
      </c>
      <c r="C444" s="5" t="s">
        <v>21</v>
      </c>
    </row>
    <row r="445" spans="1:3" x14ac:dyDescent="0.2">
      <c r="A445" s="5">
        <v>443</v>
      </c>
      <c r="B445" s="5">
        <f t="shared" ca="1" si="6"/>
        <v>0.73220576834271978</v>
      </c>
      <c r="C445" s="5" t="s">
        <v>21</v>
      </c>
    </row>
    <row r="446" spans="1:3" x14ac:dyDescent="0.2">
      <c r="A446" s="5">
        <v>444</v>
      </c>
      <c r="B446" s="5">
        <f t="shared" ca="1" si="6"/>
        <v>0.62817981924054556</v>
      </c>
      <c r="C446" s="5" t="s">
        <v>22</v>
      </c>
    </row>
    <row r="447" spans="1:3" x14ac:dyDescent="0.2">
      <c r="A447" s="5">
        <v>445</v>
      </c>
      <c r="B447" s="5">
        <f t="shared" ca="1" si="6"/>
        <v>0.66502585721121676</v>
      </c>
      <c r="C447" s="5" t="s">
        <v>22</v>
      </c>
    </row>
    <row r="448" spans="1:3" x14ac:dyDescent="0.2">
      <c r="A448" s="5">
        <v>446</v>
      </c>
      <c r="B448" s="5">
        <f t="shared" ca="1" si="6"/>
        <v>0.64079041153308125</v>
      </c>
      <c r="C448" s="5" t="s">
        <v>21</v>
      </c>
    </row>
    <row r="449" spans="1:3" x14ac:dyDescent="0.2">
      <c r="A449" s="5">
        <v>447</v>
      </c>
      <c r="B449" s="5">
        <f t="shared" ca="1" si="6"/>
        <v>0.60600696579625668</v>
      </c>
      <c r="C449" s="5" t="s">
        <v>22</v>
      </c>
    </row>
    <row r="450" spans="1:3" x14ac:dyDescent="0.2">
      <c r="A450" s="5">
        <v>448</v>
      </c>
      <c r="B450" s="5">
        <f t="shared" ca="1" si="6"/>
        <v>0.76352820349600625</v>
      </c>
      <c r="C450" s="5" t="s">
        <v>21</v>
      </c>
    </row>
    <row r="451" spans="1:3" x14ac:dyDescent="0.2">
      <c r="A451" s="5">
        <v>449</v>
      </c>
      <c r="B451" s="5">
        <f t="shared" ca="1" si="6"/>
        <v>0.85264986506423568</v>
      </c>
      <c r="C451" s="5" t="s">
        <v>21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0.57850685522909173</v>
      </c>
      <c r="C452" s="5" t="s">
        <v>22</v>
      </c>
    </row>
    <row r="453" spans="1:3" x14ac:dyDescent="0.2">
      <c r="A453" s="5">
        <v>451</v>
      </c>
      <c r="B453" s="5">
        <f t="shared" ca="1" si="7"/>
        <v>0.84843578001803133</v>
      </c>
      <c r="C453" s="5" t="s">
        <v>21</v>
      </c>
    </row>
    <row r="454" spans="1:3" x14ac:dyDescent="0.2">
      <c r="A454" s="5">
        <v>452</v>
      </c>
      <c r="B454" s="5">
        <f t="shared" ca="1" si="7"/>
        <v>0.7560382406951508</v>
      </c>
      <c r="C454" s="5" t="s">
        <v>21</v>
      </c>
    </row>
    <row r="455" spans="1:3" x14ac:dyDescent="0.2">
      <c r="A455" s="5">
        <v>453</v>
      </c>
      <c r="B455" s="5">
        <f t="shared" ca="1" si="7"/>
        <v>0.74353421906783368</v>
      </c>
      <c r="C455" s="5" t="s">
        <v>22</v>
      </c>
    </row>
    <row r="456" spans="1:3" x14ac:dyDescent="0.2">
      <c r="A456" s="5">
        <v>454</v>
      </c>
      <c r="B456" s="5">
        <f t="shared" ca="1" si="7"/>
        <v>0.83151167925486169</v>
      </c>
      <c r="C456" s="5" t="s">
        <v>21</v>
      </c>
    </row>
    <row r="457" spans="1:3" x14ac:dyDescent="0.2">
      <c r="A457" s="5">
        <v>455</v>
      </c>
      <c r="B457" s="5">
        <f t="shared" ca="1" si="7"/>
        <v>0.71825164032522193</v>
      </c>
      <c r="C457" s="5" t="s">
        <v>22</v>
      </c>
    </row>
    <row r="458" spans="1:3" x14ac:dyDescent="0.2">
      <c r="A458" s="5">
        <v>456</v>
      </c>
      <c r="B458" s="5">
        <f t="shared" ca="1" si="7"/>
        <v>0.83905547325930441</v>
      </c>
      <c r="C458" s="5" t="s">
        <v>22</v>
      </c>
    </row>
    <row r="459" spans="1:3" x14ac:dyDescent="0.2">
      <c r="A459" s="5">
        <v>457</v>
      </c>
      <c r="B459" s="5">
        <f t="shared" ca="1" si="7"/>
        <v>0.54999516522198455</v>
      </c>
      <c r="C459" s="5" t="s">
        <v>22</v>
      </c>
    </row>
    <row r="460" spans="1:3" x14ac:dyDescent="0.2">
      <c r="A460" s="5">
        <v>458</v>
      </c>
      <c r="B460" s="5">
        <f t="shared" ca="1" si="7"/>
        <v>0.43262931308897856</v>
      </c>
      <c r="C460" s="5" t="s">
        <v>22</v>
      </c>
    </row>
    <row r="461" spans="1:3" x14ac:dyDescent="0.2">
      <c r="A461" s="5">
        <v>459</v>
      </c>
      <c r="B461" s="5">
        <f t="shared" ca="1" si="7"/>
        <v>0.6665444001955082</v>
      </c>
      <c r="C461" s="5" t="s">
        <v>21</v>
      </c>
    </row>
    <row r="462" spans="1:3" x14ac:dyDescent="0.2">
      <c r="A462" s="5">
        <v>460</v>
      </c>
      <c r="B462" s="5">
        <f t="shared" ca="1" si="7"/>
        <v>0.74529132045282542</v>
      </c>
      <c r="C462" s="5" t="s">
        <v>21</v>
      </c>
    </row>
    <row r="463" spans="1:3" x14ac:dyDescent="0.2">
      <c r="A463" s="5">
        <v>461</v>
      </c>
      <c r="B463" s="5">
        <f t="shared" ca="1" si="7"/>
        <v>0.4504174452289757</v>
      </c>
      <c r="C463" s="5" t="s">
        <v>22</v>
      </c>
    </row>
    <row r="464" spans="1:3" x14ac:dyDescent="0.2">
      <c r="A464" s="5">
        <v>462</v>
      </c>
      <c r="B464" s="5">
        <f t="shared" ca="1" si="7"/>
        <v>0.80503294951477045</v>
      </c>
      <c r="C464" s="5" t="s">
        <v>21</v>
      </c>
    </row>
    <row r="465" spans="1:3" x14ac:dyDescent="0.2">
      <c r="A465" s="5">
        <v>463</v>
      </c>
      <c r="B465" s="5">
        <f t="shared" ca="1" si="7"/>
        <v>0.84334103781351155</v>
      </c>
      <c r="C465" s="5" t="s">
        <v>21</v>
      </c>
    </row>
    <row r="466" spans="1:3" x14ac:dyDescent="0.2">
      <c r="A466" s="5">
        <v>464</v>
      </c>
      <c r="B466" s="5">
        <f t="shared" ca="1" si="7"/>
        <v>0.57945674539131775</v>
      </c>
      <c r="C466" s="5" t="s">
        <v>21</v>
      </c>
    </row>
    <row r="467" spans="1:3" x14ac:dyDescent="0.2">
      <c r="A467" s="5">
        <v>465</v>
      </c>
      <c r="B467" s="5">
        <f t="shared" ca="1" si="7"/>
        <v>0.78982974120491178</v>
      </c>
      <c r="C467" s="5" t="s">
        <v>21</v>
      </c>
    </row>
    <row r="468" spans="1:3" x14ac:dyDescent="0.2">
      <c r="A468" s="5">
        <v>466</v>
      </c>
      <c r="B468" s="5">
        <f t="shared" ca="1" si="7"/>
        <v>0.54112124613826951</v>
      </c>
      <c r="C468" s="5" t="s">
        <v>22</v>
      </c>
    </row>
    <row r="469" spans="1:3" x14ac:dyDescent="0.2">
      <c r="A469" s="5">
        <v>467</v>
      </c>
      <c r="B469" s="5">
        <f t="shared" ca="1" si="7"/>
        <v>0.63753472053900073</v>
      </c>
      <c r="C469" s="5" t="s">
        <v>22</v>
      </c>
    </row>
    <row r="470" spans="1:3" x14ac:dyDescent="0.2">
      <c r="A470" s="5">
        <v>468</v>
      </c>
      <c r="B470" s="5">
        <f t="shared" ca="1" si="7"/>
        <v>0.36366066276936032</v>
      </c>
      <c r="C470" s="5" t="s">
        <v>22</v>
      </c>
    </row>
    <row r="471" spans="1:3" x14ac:dyDescent="0.2">
      <c r="A471" s="5">
        <v>469</v>
      </c>
      <c r="B471" s="5">
        <f t="shared" ca="1" si="7"/>
        <v>0.72766827208871421</v>
      </c>
      <c r="C471" s="5" t="s">
        <v>21</v>
      </c>
    </row>
    <row r="472" spans="1:3" x14ac:dyDescent="0.2">
      <c r="A472" s="5">
        <v>470</v>
      </c>
      <c r="B472" s="5">
        <f t="shared" ca="1" si="7"/>
        <v>0.579744803386255</v>
      </c>
      <c r="C472" s="5" t="s">
        <v>22</v>
      </c>
    </row>
    <row r="473" spans="1:3" x14ac:dyDescent="0.2">
      <c r="A473" s="5">
        <v>471</v>
      </c>
      <c r="B473" s="5">
        <f t="shared" ca="1" si="7"/>
        <v>0.48125201609113166</v>
      </c>
      <c r="C473" s="5" t="s">
        <v>21</v>
      </c>
    </row>
    <row r="474" spans="1:3" x14ac:dyDescent="0.2">
      <c r="A474" s="5">
        <v>472</v>
      </c>
      <c r="B474" s="5">
        <f t="shared" ca="1" si="7"/>
        <v>0.62991318908625804</v>
      </c>
      <c r="C474" s="5" t="s">
        <v>21</v>
      </c>
    </row>
    <row r="475" spans="1:3" x14ac:dyDescent="0.2">
      <c r="A475" s="5">
        <v>473</v>
      </c>
      <c r="B475" s="5">
        <f t="shared" ca="1" si="7"/>
        <v>0.75166015717867851</v>
      </c>
      <c r="C475" s="5" t="s">
        <v>21</v>
      </c>
    </row>
    <row r="476" spans="1:3" x14ac:dyDescent="0.2">
      <c r="A476" s="5">
        <v>474</v>
      </c>
      <c r="B476" s="5">
        <f t="shared" ca="1" si="7"/>
        <v>0.55690107838857106</v>
      </c>
      <c r="C476" s="5" t="s">
        <v>22</v>
      </c>
    </row>
    <row r="477" spans="1:3" x14ac:dyDescent="0.2">
      <c r="A477" s="5">
        <v>475</v>
      </c>
      <c r="B477" s="5">
        <f t="shared" ca="1" si="7"/>
        <v>0.7577547921333263</v>
      </c>
      <c r="C477" s="5" t="s">
        <v>21</v>
      </c>
    </row>
    <row r="478" spans="1:3" x14ac:dyDescent="0.2">
      <c r="A478" s="5">
        <v>476</v>
      </c>
      <c r="B478" s="5">
        <f t="shared" ca="1" si="7"/>
        <v>0.7540222189104463</v>
      </c>
      <c r="C478" s="5" t="s">
        <v>21</v>
      </c>
    </row>
    <row r="479" spans="1:3" x14ac:dyDescent="0.2">
      <c r="A479" s="5">
        <v>477</v>
      </c>
      <c r="B479" s="5">
        <f t="shared" ca="1" si="7"/>
        <v>0.54469816966356499</v>
      </c>
      <c r="C479" s="5" t="s">
        <v>22</v>
      </c>
    </row>
    <row r="480" spans="1:3" x14ac:dyDescent="0.2">
      <c r="A480" s="5">
        <v>478</v>
      </c>
      <c r="B480" s="5">
        <f t="shared" ca="1" si="7"/>
        <v>0.38522458611776289</v>
      </c>
      <c r="C480" s="5" t="s">
        <v>22</v>
      </c>
    </row>
    <row r="481" spans="1:3" x14ac:dyDescent="0.2">
      <c r="A481" s="5">
        <v>479</v>
      </c>
      <c r="B481" s="5">
        <f t="shared" ca="1" si="7"/>
        <v>0.63213481349662359</v>
      </c>
      <c r="C481" s="5" t="s">
        <v>21</v>
      </c>
    </row>
    <row r="482" spans="1:3" x14ac:dyDescent="0.2">
      <c r="A482" s="5">
        <v>480</v>
      </c>
      <c r="B482" s="5">
        <f t="shared" ca="1" si="7"/>
        <v>0.7925299738364423</v>
      </c>
      <c r="C482" s="5" t="s">
        <v>21</v>
      </c>
    </row>
    <row r="483" spans="1:3" x14ac:dyDescent="0.2">
      <c r="A483" s="5">
        <v>481</v>
      </c>
      <c r="B483" s="5">
        <f t="shared" ca="1" si="7"/>
        <v>0.5669151413404071</v>
      </c>
      <c r="C483" s="5" t="s">
        <v>22</v>
      </c>
    </row>
    <row r="484" spans="1:3" x14ac:dyDescent="0.2">
      <c r="A484" s="5">
        <v>482</v>
      </c>
      <c r="B484" s="5">
        <f t="shared" ca="1" si="7"/>
        <v>0.51203784383530004</v>
      </c>
      <c r="C484" s="5" t="s">
        <v>22</v>
      </c>
    </row>
    <row r="485" spans="1:3" x14ac:dyDescent="0.2">
      <c r="A485" s="5">
        <v>483</v>
      </c>
      <c r="B485" s="5">
        <f t="shared" ca="1" si="7"/>
        <v>0.68242090466009775</v>
      </c>
      <c r="C485" s="5" t="s">
        <v>21</v>
      </c>
    </row>
    <row r="486" spans="1:3" x14ac:dyDescent="0.2">
      <c r="A486" s="5">
        <v>484</v>
      </c>
      <c r="B486" s="5">
        <f t="shared" ca="1" si="7"/>
        <v>0.8488780570112664</v>
      </c>
      <c r="C486" s="5" t="s">
        <v>21</v>
      </c>
    </row>
    <row r="487" spans="1:3" x14ac:dyDescent="0.2">
      <c r="A487" s="5">
        <v>485</v>
      </c>
      <c r="B487" s="5">
        <f t="shared" ca="1" si="7"/>
        <v>0.74939156383536987</v>
      </c>
      <c r="C487" s="5" t="s">
        <v>21</v>
      </c>
    </row>
    <row r="488" spans="1:3" x14ac:dyDescent="0.2">
      <c r="A488" s="5">
        <v>486</v>
      </c>
      <c r="B488" s="5">
        <f t="shared" ca="1" si="7"/>
        <v>0.6062454835905009</v>
      </c>
      <c r="C488" s="5" t="s">
        <v>22</v>
      </c>
    </row>
    <row r="489" spans="1:3" x14ac:dyDescent="0.2">
      <c r="A489" s="5">
        <v>487</v>
      </c>
      <c r="B489" s="5">
        <f t="shared" ca="1" si="7"/>
        <v>0.7968559345003301</v>
      </c>
      <c r="C489" s="5" t="s">
        <v>21</v>
      </c>
    </row>
    <row r="490" spans="1:3" x14ac:dyDescent="0.2">
      <c r="A490" s="5">
        <v>488</v>
      </c>
      <c r="B490" s="5">
        <f t="shared" ca="1" si="7"/>
        <v>0.71185382133572128</v>
      </c>
      <c r="C490" s="5" t="s">
        <v>22</v>
      </c>
    </row>
    <row r="491" spans="1:3" x14ac:dyDescent="0.2">
      <c r="A491" s="5">
        <v>489</v>
      </c>
      <c r="B491" s="5">
        <f t="shared" ca="1" si="7"/>
        <v>0.85335712252753138</v>
      </c>
      <c r="C491" s="5" t="s">
        <v>22</v>
      </c>
    </row>
    <row r="492" spans="1:3" x14ac:dyDescent="0.2">
      <c r="A492" s="5">
        <v>490</v>
      </c>
      <c r="B492" s="5">
        <f t="shared" ca="1" si="7"/>
        <v>0.57694055395182831</v>
      </c>
      <c r="C492" s="5" t="s">
        <v>21</v>
      </c>
    </row>
    <row r="493" spans="1:3" x14ac:dyDescent="0.2">
      <c r="A493" s="5">
        <v>491</v>
      </c>
      <c r="B493" s="5">
        <f t="shared" ca="1" si="7"/>
        <v>0.72703581221692759</v>
      </c>
      <c r="C493" s="5" t="s">
        <v>22</v>
      </c>
    </row>
    <row r="494" spans="1:3" x14ac:dyDescent="0.2">
      <c r="A494" s="5">
        <v>492</v>
      </c>
      <c r="B494" s="5">
        <f t="shared" ca="1" si="7"/>
        <v>0.77450748787344392</v>
      </c>
      <c r="C494" s="5" t="s">
        <v>21</v>
      </c>
    </row>
    <row r="495" spans="1:3" x14ac:dyDescent="0.2">
      <c r="A495" s="5">
        <v>493</v>
      </c>
      <c r="B495" s="5">
        <f t="shared" ca="1" si="7"/>
        <v>0.77925849110941792</v>
      </c>
      <c r="C495" s="5" t="s">
        <v>22</v>
      </c>
    </row>
    <row r="496" spans="1:3" x14ac:dyDescent="0.2">
      <c r="A496" s="5">
        <v>494</v>
      </c>
      <c r="B496" s="5">
        <f t="shared" ca="1" si="7"/>
        <v>0.58448510091056649</v>
      </c>
      <c r="C496" s="5" t="s">
        <v>22</v>
      </c>
    </row>
    <row r="497" spans="1:3" x14ac:dyDescent="0.2">
      <c r="A497" s="5">
        <v>495</v>
      </c>
      <c r="B497" s="5">
        <f t="shared" ca="1" si="7"/>
        <v>0.82174502683274153</v>
      </c>
      <c r="C497" s="5" t="s">
        <v>21</v>
      </c>
    </row>
    <row r="498" spans="1:3" x14ac:dyDescent="0.2">
      <c r="A498" s="5">
        <v>496</v>
      </c>
      <c r="B498" s="5">
        <f t="shared" ca="1" si="7"/>
        <v>0.82554299238209006</v>
      </c>
      <c r="C498" s="5" t="s">
        <v>21</v>
      </c>
    </row>
    <row r="499" spans="1:3" x14ac:dyDescent="0.2">
      <c r="A499" s="5">
        <v>497</v>
      </c>
      <c r="B499" s="5">
        <f t="shared" ca="1" si="7"/>
        <v>0.4333411204438386</v>
      </c>
      <c r="C499" s="5" t="s">
        <v>21</v>
      </c>
    </row>
    <row r="500" spans="1:3" x14ac:dyDescent="0.2">
      <c r="A500" s="5">
        <v>498</v>
      </c>
      <c r="B500" s="5">
        <f t="shared" ca="1" si="7"/>
        <v>0.64166012386995519</v>
      </c>
      <c r="C500" s="5" t="s">
        <v>22</v>
      </c>
    </row>
    <row r="501" spans="1:3" x14ac:dyDescent="0.2">
      <c r="A501" s="5">
        <v>499</v>
      </c>
      <c r="B501" s="5">
        <f t="shared" ca="1" si="7"/>
        <v>0.61534066524854347</v>
      </c>
      <c r="C501" s="5" t="s">
        <v>21</v>
      </c>
    </row>
    <row r="502" spans="1:3" x14ac:dyDescent="0.2">
      <c r="A502" s="5">
        <v>500</v>
      </c>
      <c r="B502" s="5">
        <f t="shared" ca="1" si="7"/>
        <v>0.69420910880050102</v>
      </c>
      <c r="C502" s="5" t="s">
        <v>21</v>
      </c>
    </row>
    <row r="503" spans="1:3" x14ac:dyDescent="0.2">
      <c r="A503" s="5">
        <v>501</v>
      </c>
      <c r="B503" s="5">
        <f t="shared" ca="1" si="7"/>
        <v>0.5706327336876813</v>
      </c>
      <c r="C503" s="5" t="s">
        <v>22</v>
      </c>
    </row>
    <row r="504" spans="1:3" x14ac:dyDescent="0.2">
      <c r="A504" s="5">
        <v>502</v>
      </c>
      <c r="B504" s="5">
        <f t="shared" ca="1" si="7"/>
        <v>0.62213740378845828</v>
      </c>
      <c r="C504" s="5" t="s">
        <v>22</v>
      </c>
    </row>
    <row r="505" spans="1:3" x14ac:dyDescent="0.2">
      <c r="A505" s="5">
        <v>503</v>
      </c>
      <c r="B505" s="5">
        <f t="shared" ca="1" si="7"/>
        <v>0.79545273079807721</v>
      </c>
      <c r="C505" s="5" t="s">
        <v>22</v>
      </c>
    </row>
    <row r="506" spans="1:3" x14ac:dyDescent="0.2">
      <c r="A506" s="5">
        <v>504</v>
      </c>
      <c r="B506" s="5">
        <f t="shared" ca="1" si="7"/>
        <v>0.72527308800681389</v>
      </c>
      <c r="C506" s="5" t="s">
        <v>22</v>
      </c>
    </row>
    <row r="507" spans="1:3" x14ac:dyDescent="0.2">
      <c r="A507" s="5">
        <v>505</v>
      </c>
      <c r="B507" s="5">
        <f t="shared" ca="1" si="7"/>
        <v>0.58582562303923158</v>
      </c>
      <c r="C507" s="5" t="s">
        <v>21</v>
      </c>
    </row>
    <row r="508" spans="1:3" x14ac:dyDescent="0.2">
      <c r="A508" s="5">
        <v>506</v>
      </c>
      <c r="B508" s="5">
        <f t="shared" ca="1" si="7"/>
        <v>0.905678984721491</v>
      </c>
      <c r="C508" s="5" t="s">
        <v>21</v>
      </c>
    </row>
    <row r="509" spans="1:3" x14ac:dyDescent="0.2">
      <c r="A509" s="5">
        <v>507</v>
      </c>
      <c r="B509" s="5">
        <f t="shared" ca="1" si="7"/>
        <v>0.78629646117153007</v>
      </c>
      <c r="C509" s="5" t="s">
        <v>21</v>
      </c>
    </row>
    <row r="510" spans="1:3" x14ac:dyDescent="0.2">
      <c r="A510" s="5">
        <v>508</v>
      </c>
      <c r="B510" s="5">
        <f t="shared" ca="1" si="7"/>
        <v>0.64471764549862987</v>
      </c>
      <c r="C510" s="5" t="s">
        <v>22</v>
      </c>
    </row>
    <row r="511" spans="1:3" x14ac:dyDescent="0.2">
      <c r="A511" s="5">
        <v>509</v>
      </c>
      <c r="B511" s="5">
        <f t="shared" ca="1" si="7"/>
        <v>0.71950283889037214</v>
      </c>
      <c r="C511" s="5" t="s">
        <v>21</v>
      </c>
    </row>
    <row r="512" spans="1:3" x14ac:dyDescent="0.2">
      <c r="A512" s="5">
        <v>510</v>
      </c>
      <c r="B512" s="5">
        <f t="shared" ca="1" si="7"/>
        <v>0.78141503403702672</v>
      </c>
      <c r="C512" s="5" t="s">
        <v>21</v>
      </c>
    </row>
    <row r="513" spans="1:3" x14ac:dyDescent="0.2">
      <c r="A513" s="5">
        <v>511</v>
      </c>
      <c r="B513" s="5">
        <f t="shared" ca="1" si="7"/>
        <v>0.66358918478038964</v>
      </c>
      <c r="C513" s="5" t="s">
        <v>21</v>
      </c>
    </row>
    <row r="514" spans="1:3" x14ac:dyDescent="0.2">
      <c r="A514" s="5">
        <v>512</v>
      </c>
      <c r="B514" s="5">
        <f t="shared" ca="1" si="7"/>
        <v>0.78721319892959329</v>
      </c>
      <c r="C514" s="5" t="s">
        <v>21</v>
      </c>
    </row>
    <row r="515" spans="1:3" x14ac:dyDescent="0.2">
      <c r="A515" s="5">
        <v>513</v>
      </c>
      <c r="B515" s="5">
        <f t="shared" ca="1" si="7"/>
        <v>0.75095603993246285</v>
      </c>
      <c r="C515" s="5" t="s">
        <v>21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0.73293502787068487</v>
      </c>
      <c r="C516" s="5" t="s">
        <v>22</v>
      </c>
    </row>
    <row r="517" spans="1:3" x14ac:dyDescent="0.2">
      <c r="A517" s="5">
        <v>515</v>
      </c>
      <c r="B517" s="5">
        <f t="shared" ca="1" si="8"/>
        <v>0.62993855297130807</v>
      </c>
      <c r="C517" s="5" t="s">
        <v>21</v>
      </c>
    </row>
    <row r="518" spans="1:3" x14ac:dyDescent="0.2">
      <c r="A518" s="5">
        <v>516</v>
      </c>
      <c r="B518" s="5">
        <f t="shared" ca="1" si="8"/>
        <v>0.66665421929392377</v>
      </c>
      <c r="C518" s="5" t="s">
        <v>21</v>
      </c>
    </row>
    <row r="519" spans="1:3" x14ac:dyDescent="0.2">
      <c r="A519" s="5">
        <v>517</v>
      </c>
      <c r="B519" s="5">
        <f t="shared" ca="1" si="8"/>
        <v>0.71542229953547642</v>
      </c>
      <c r="C519" s="5" t="s">
        <v>21</v>
      </c>
    </row>
    <row r="520" spans="1:3" x14ac:dyDescent="0.2">
      <c r="A520" s="5">
        <v>518</v>
      </c>
      <c r="B520" s="5">
        <f t="shared" ca="1" si="8"/>
        <v>0.7527944734122537</v>
      </c>
      <c r="C520" s="5" t="s">
        <v>22</v>
      </c>
    </row>
    <row r="521" spans="1:3" x14ac:dyDescent="0.2">
      <c r="A521" s="5">
        <v>519</v>
      </c>
      <c r="B521" s="5">
        <f t="shared" ca="1" si="8"/>
        <v>0.43602569318483625</v>
      </c>
      <c r="C521" s="5" t="s">
        <v>21</v>
      </c>
    </row>
    <row r="522" spans="1:3" x14ac:dyDescent="0.2">
      <c r="A522" s="5">
        <v>520</v>
      </c>
      <c r="B522" s="5">
        <f t="shared" ca="1" si="8"/>
        <v>0.59115485689137093</v>
      </c>
      <c r="C522" s="5" t="s">
        <v>22</v>
      </c>
    </row>
    <row r="523" spans="1:3" x14ac:dyDescent="0.2">
      <c r="A523" s="5">
        <v>521</v>
      </c>
      <c r="B523" s="5">
        <f t="shared" ca="1" si="8"/>
        <v>0.71041201330005144</v>
      </c>
      <c r="C523" s="5" t="s">
        <v>22</v>
      </c>
    </row>
    <row r="524" spans="1:3" x14ac:dyDescent="0.2">
      <c r="A524" s="5">
        <v>522</v>
      </c>
      <c r="B524" s="5">
        <f t="shared" ca="1" si="8"/>
        <v>0.4839105850338829</v>
      </c>
      <c r="C524" s="5" t="s">
        <v>21</v>
      </c>
    </row>
    <row r="525" spans="1:3" x14ac:dyDescent="0.2">
      <c r="A525" s="5">
        <v>523</v>
      </c>
      <c r="B525" s="5">
        <f t="shared" ca="1" si="8"/>
        <v>0.79763394102363161</v>
      </c>
      <c r="C525" s="5" t="s">
        <v>21</v>
      </c>
    </row>
    <row r="526" spans="1:3" x14ac:dyDescent="0.2">
      <c r="A526" s="5">
        <v>524</v>
      </c>
      <c r="B526" s="5">
        <f t="shared" ca="1" si="8"/>
        <v>0.86206151273534348</v>
      </c>
      <c r="C526" s="5" t="s">
        <v>22</v>
      </c>
    </row>
    <row r="527" spans="1:3" x14ac:dyDescent="0.2">
      <c r="A527" s="5">
        <v>525</v>
      </c>
      <c r="B527" s="5">
        <f t="shared" ca="1" si="8"/>
        <v>0.81322614669138993</v>
      </c>
      <c r="C527" s="5" t="s">
        <v>21</v>
      </c>
    </row>
    <row r="528" spans="1:3" x14ac:dyDescent="0.2">
      <c r="A528" s="5">
        <v>526</v>
      </c>
      <c r="B528" s="5">
        <f t="shared" ca="1" si="8"/>
        <v>0.62624698659625677</v>
      </c>
      <c r="C528" s="5" t="s">
        <v>22</v>
      </c>
    </row>
    <row r="529" spans="1:3" x14ac:dyDescent="0.2">
      <c r="A529" s="5">
        <v>527</v>
      </c>
      <c r="B529" s="5">
        <f t="shared" ca="1" si="8"/>
        <v>0.80950620600761058</v>
      </c>
      <c r="C529" s="5" t="s">
        <v>22</v>
      </c>
    </row>
    <row r="530" spans="1:3" x14ac:dyDescent="0.2">
      <c r="A530" s="5">
        <v>528</v>
      </c>
      <c r="B530" s="5">
        <f t="shared" ca="1" si="8"/>
        <v>0.74042271163414808</v>
      </c>
      <c r="C530" s="5" t="s">
        <v>21</v>
      </c>
    </row>
    <row r="531" spans="1:3" x14ac:dyDescent="0.2">
      <c r="A531" s="5">
        <v>529</v>
      </c>
      <c r="B531" s="5">
        <f t="shared" ca="1" si="8"/>
        <v>0.65454160285797924</v>
      </c>
      <c r="C531" s="5" t="s">
        <v>21</v>
      </c>
    </row>
    <row r="532" spans="1:3" x14ac:dyDescent="0.2">
      <c r="A532" s="5">
        <v>530</v>
      </c>
      <c r="B532" s="5">
        <f t="shared" ca="1" si="8"/>
        <v>0.47861058950051416</v>
      </c>
      <c r="C532" s="5" t="s">
        <v>22</v>
      </c>
    </row>
    <row r="533" spans="1:3" x14ac:dyDescent="0.2">
      <c r="A533" s="5">
        <v>531</v>
      </c>
      <c r="B533" s="5">
        <f t="shared" ca="1" si="8"/>
        <v>0.88162423077370611</v>
      </c>
      <c r="C533" s="5" t="s">
        <v>21</v>
      </c>
    </row>
    <row r="534" spans="1:3" x14ac:dyDescent="0.2">
      <c r="A534" s="5">
        <v>532</v>
      </c>
      <c r="B534" s="5">
        <f t="shared" ca="1" si="8"/>
        <v>0.58182287000402344</v>
      </c>
      <c r="C534" s="5" t="s">
        <v>22</v>
      </c>
    </row>
    <row r="535" spans="1:3" x14ac:dyDescent="0.2">
      <c r="A535" s="5">
        <v>533</v>
      </c>
      <c r="B535" s="5">
        <f t="shared" ca="1" si="8"/>
        <v>0.69008253558754185</v>
      </c>
      <c r="C535" s="5" t="s">
        <v>22</v>
      </c>
    </row>
    <row r="536" spans="1:3" x14ac:dyDescent="0.2">
      <c r="A536" s="5">
        <v>534</v>
      </c>
      <c r="B536" s="5">
        <f t="shared" ca="1" si="8"/>
        <v>0.72190638517434036</v>
      </c>
      <c r="C536" s="5" t="s">
        <v>21</v>
      </c>
    </row>
    <row r="537" spans="1:3" x14ac:dyDescent="0.2">
      <c r="A537" s="5">
        <v>535</v>
      </c>
      <c r="B537" s="5">
        <f t="shared" ca="1" si="8"/>
        <v>0.7524511352434089</v>
      </c>
      <c r="C537" s="5" t="s">
        <v>22</v>
      </c>
    </row>
    <row r="538" spans="1:3" x14ac:dyDescent="0.2">
      <c r="A538" s="5">
        <v>536</v>
      </c>
      <c r="B538" s="5">
        <f t="shared" ca="1" si="8"/>
        <v>0.57702736979396219</v>
      </c>
      <c r="C538" s="5" t="s">
        <v>22</v>
      </c>
    </row>
    <row r="539" spans="1:3" x14ac:dyDescent="0.2">
      <c r="A539" s="5">
        <v>537</v>
      </c>
      <c r="B539" s="5">
        <f t="shared" ca="1" si="8"/>
        <v>0.3353858541956497</v>
      </c>
      <c r="C539" s="5" t="s">
        <v>22</v>
      </c>
    </row>
    <row r="540" spans="1:3" x14ac:dyDescent="0.2">
      <c r="A540" s="5">
        <v>538</v>
      </c>
      <c r="B540" s="5">
        <f t="shared" ca="1" si="8"/>
        <v>0.69064445235738214</v>
      </c>
      <c r="C540" s="5" t="s">
        <v>21</v>
      </c>
    </row>
    <row r="541" spans="1:3" x14ac:dyDescent="0.2">
      <c r="A541" s="5">
        <v>539</v>
      </c>
      <c r="B541" s="5">
        <f t="shared" ca="1" si="8"/>
        <v>0.52118562739452046</v>
      </c>
      <c r="C541" s="5" t="s">
        <v>22</v>
      </c>
    </row>
    <row r="542" spans="1:3" x14ac:dyDescent="0.2">
      <c r="A542" s="5">
        <v>540</v>
      </c>
      <c r="B542" s="5">
        <f t="shared" ca="1" si="8"/>
        <v>0.45034771685691344</v>
      </c>
      <c r="C542" s="5" t="s">
        <v>22</v>
      </c>
    </row>
    <row r="543" spans="1:3" x14ac:dyDescent="0.2">
      <c r="A543" s="5">
        <v>541</v>
      </c>
      <c r="B543" s="5">
        <f t="shared" ca="1" si="8"/>
        <v>0.52243136279732516</v>
      </c>
      <c r="C543" s="5" t="s">
        <v>22</v>
      </c>
    </row>
    <row r="544" spans="1:3" x14ac:dyDescent="0.2">
      <c r="A544" s="5">
        <v>542</v>
      </c>
      <c r="B544" s="5">
        <f t="shared" ca="1" si="8"/>
        <v>0.68118090648801644</v>
      </c>
      <c r="C544" s="5" t="s">
        <v>21</v>
      </c>
    </row>
    <row r="545" spans="1:3" x14ac:dyDescent="0.2">
      <c r="A545" s="5">
        <v>543</v>
      </c>
      <c r="B545" s="5">
        <f t="shared" ca="1" si="8"/>
        <v>0.63016369543430983</v>
      </c>
      <c r="C545" s="5" t="s">
        <v>21</v>
      </c>
    </row>
    <row r="546" spans="1:3" x14ac:dyDescent="0.2">
      <c r="A546" s="5">
        <v>544</v>
      </c>
      <c r="B546" s="5">
        <f t="shared" ca="1" si="8"/>
        <v>0.53104194066226873</v>
      </c>
      <c r="C546" s="5" t="s">
        <v>21</v>
      </c>
    </row>
    <row r="547" spans="1:3" x14ac:dyDescent="0.2">
      <c r="A547" s="5">
        <v>545</v>
      </c>
      <c r="B547" s="5">
        <f t="shared" ca="1" si="8"/>
        <v>0.4304307414552509</v>
      </c>
      <c r="C547" s="5" t="s">
        <v>22</v>
      </c>
    </row>
    <row r="548" spans="1:3" x14ac:dyDescent="0.2">
      <c r="A548" s="5">
        <v>546</v>
      </c>
      <c r="B548" s="5">
        <f t="shared" ca="1" si="8"/>
        <v>0.63529101074547378</v>
      </c>
      <c r="C548" s="5" t="s">
        <v>22</v>
      </c>
    </row>
    <row r="549" spans="1:3" x14ac:dyDescent="0.2">
      <c r="A549" s="5">
        <v>547</v>
      </c>
      <c r="B549" s="5">
        <f t="shared" ca="1" si="8"/>
        <v>0.7116076765950653</v>
      </c>
      <c r="C549" s="5" t="s">
        <v>21</v>
      </c>
    </row>
    <row r="550" spans="1:3" x14ac:dyDescent="0.2">
      <c r="A550" s="5">
        <v>548</v>
      </c>
      <c r="B550" s="5">
        <f t="shared" ca="1" si="8"/>
        <v>0.668084732605849</v>
      </c>
      <c r="C550" s="5" t="s">
        <v>21</v>
      </c>
    </row>
    <row r="551" spans="1:3" x14ac:dyDescent="0.2">
      <c r="A551" s="5">
        <v>549</v>
      </c>
      <c r="B551" s="5">
        <f t="shared" ca="1" si="8"/>
        <v>0.94631469991223693</v>
      </c>
      <c r="C551" s="5" t="s">
        <v>22</v>
      </c>
    </row>
    <row r="552" spans="1:3" x14ac:dyDescent="0.2">
      <c r="A552" s="5">
        <v>550</v>
      </c>
      <c r="B552" s="5">
        <f t="shared" ca="1" si="8"/>
        <v>0.59678662257031567</v>
      </c>
      <c r="C552" s="5" t="s">
        <v>21</v>
      </c>
    </row>
    <row r="553" spans="1:3" x14ac:dyDescent="0.2">
      <c r="A553" s="5">
        <v>551</v>
      </c>
      <c r="B553" s="5">
        <f t="shared" ca="1" si="8"/>
        <v>0.44332908723780406</v>
      </c>
      <c r="C553" s="5" t="s">
        <v>22</v>
      </c>
    </row>
    <row r="554" spans="1:3" x14ac:dyDescent="0.2">
      <c r="A554" s="5">
        <v>552</v>
      </c>
      <c r="B554" s="5">
        <f t="shared" ca="1" si="8"/>
        <v>0.6851077988888612</v>
      </c>
      <c r="C554" s="5" t="s">
        <v>22</v>
      </c>
    </row>
    <row r="555" spans="1:3" x14ac:dyDescent="0.2">
      <c r="A555" s="5">
        <v>553</v>
      </c>
      <c r="B555" s="5">
        <f t="shared" ca="1" si="8"/>
        <v>0.75660951912600227</v>
      </c>
      <c r="C555" s="5" t="s">
        <v>22</v>
      </c>
    </row>
    <row r="556" spans="1:3" x14ac:dyDescent="0.2">
      <c r="A556" s="5">
        <v>554</v>
      </c>
      <c r="B556" s="5">
        <f t="shared" ca="1" si="8"/>
        <v>0.66944959707690521</v>
      </c>
      <c r="C556" s="5" t="s">
        <v>21</v>
      </c>
    </row>
    <row r="557" spans="1:3" x14ac:dyDescent="0.2">
      <c r="A557" s="5">
        <v>555</v>
      </c>
      <c r="B557" s="5">
        <f t="shared" ca="1" si="8"/>
        <v>0.46178421882821341</v>
      </c>
      <c r="C557" s="5" t="s">
        <v>22</v>
      </c>
    </row>
    <row r="558" spans="1:3" x14ac:dyDescent="0.2">
      <c r="A558" s="5">
        <v>556</v>
      </c>
      <c r="B558" s="5">
        <f t="shared" ca="1" si="8"/>
        <v>0.63165989818586876</v>
      </c>
      <c r="C558" s="5" t="s">
        <v>21</v>
      </c>
    </row>
    <row r="559" spans="1:3" x14ac:dyDescent="0.2">
      <c r="A559" s="5">
        <v>557</v>
      </c>
      <c r="B559" s="5">
        <f t="shared" ca="1" si="8"/>
        <v>0.7963152067728384</v>
      </c>
      <c r="C559" s="5" t="s">
        <v>21</v>
      </c>
    </row>
    <row r="560" spans="1:3" x14ac:dyDescent="0.2">
      <c r="A560" s="5">
        <v>558</v>
      </c>
      <c r="B560" s="5">
        <f t="shared" ca="1" si="8"/>
        <v>0.7217654253920891</v>
      </c>
      <c r="C560" s="5" t="s">
        <v>22</v>
      </c>
    </row>
    <row r="561" spans="1:3" x14ac:dyDescent="0.2">
      <c r="A561" s="5">
        <v>559</v>
      </c>
      <c r="B561" s="5">
        <f t="shared" ca="1" si="8"/>
        <v>0.87510487704145856</v>
      </c>
      <c r="C561" s="5" t="s">
        <v>21</v>
      </c>
    </row>
    <row r="562" spans="1:3" x14ac:dyDescent="0.2">
      <c r="A562" s="5">
        <v>560</v>
      </c>
      <c r="B562" s="5">
        <f t="shared" ca="1" si="8"/>
        <v>0.48080395028898848</v>
      </c>
      <c r="C562" s="5" t="s">
        <v>22</v>
      </c>
    </row>
    <row r="563" spans="1:3" x14ac:dyDescent="0.2">
      <c r="A563" s="5">
        <v>561</v>
      </c>
      <c r="B563" s="5">
        <f t="shared" ca="1" si="8"/>
        <v>0.71303593393170206</v>
      </c>
      <c r="C563" s="5" t="s">
        <v>22</v>
      </c>
    </row>
    <row r="564" spans="1:3" x14ac:dyDescent="0.2">
      <c r="A564" s="5">
        <v>562</v>
      </c>
      <c r="B564" s="5">
        <f t="shared" ca="1" si="8"/>
        <v>0.64268920469104562</v>
      </c>
      <c r="C564" s="5" t="s">
        <v>22</v>
      </c>
    </row>
    <row r="565" spans="1:3" x14ac:dyDescent="0.2">
      <c r="A565" s="5">
        <v>563</v>
      </c>
      <c r="B565" s="5">
        <f t="shared" ca="1" si="8"/>
        <v>0.58669885519540299</v>
      </c>
      <c r="C565" s="5" t="s">
        <v>22</v>
      </c>
    </row>
    <row r="566" spans="1:3" x14ac:dyDescent="0.2">
      <c r="A566" s="5">
        <v>564</v>
      </c>
      <c r="B566" s="5">
        <f t="shared" ca="1" si="8"/>
        <v>0.70934801557841465</v>
      </c>
      <c r="C566" s="5" t="s">
        <v>22</v>
      </c>
    </row>
    <row r="567" spans="1:3" x14ac:dyDescent="0.2">
      <c r="A567" s="5">
        <v>565</v>
      </c>
      <c r="B567" s="5">
        <f t="shared" ca="1" si="8"/>
        <v>0.28761818304428982</v>
      </c>
      <c r="C567" s="5" t="s">
        <v>22</v>
      </c>
    </row>
    <row r="568" spans="1:3" x14ac:dyDescent="0.2">
      <c r="A568" s="5">
        <v>566</v>
      </c>
      <c r="B568" s="5">
        <f t="shared" ca="1" si="8"/>
        <v>0.63074180057518203</v>
      </c>
      <c r="C568" s="5" t="s">
        <v>21</v>
      </c>
    </row>
    <row r="569" spans="1:3" x14ac:dyDescent="0.2">
      <c r="A569" s="5">
        <v>567</v>
      </c>
      <c r="B569" s="5">
        <f t="shared" ca="1" si="8"/>
        <v>0.58099399878271241</v>
      </c>
      <c r="C569" s="5" t="s">
        <v>21</v>
      </c>
    </row>
    <row r="570" spans="1:3" x14ac:dyDescent="0.2">
      <c r="A570" s="5">
        <v>568</v>
      </c>
      <c r="B570" s="5">
        <f t="shared" ca="1" si="8"/>
        <v>0.83173738566775157</v>
      </c>
      <c r="C570" s="5" t="s">
        <v>21</v>
      </c>
    </row>
    <row r="571" spans="1:3" x14ac:dyDescent="0.2">
      <c r="A571" s="5">
        <v>569</v>
      </c>
      <c r="B571" s="5">
        <f t="shared" ca="1" si="8"/>
        <v>0.46719547418139873</v>
      </c>
      <c r="C571" s="5" t="s">
        <v>22</v>
      </c>
    </row>
    <row r="572" spans="1:3" x14ac:dyDescent="0.2">
      <c r="A572" s="5">
        <v>570</v>
      </c>
      <c r="B572" s="5">
        <f t="shared" ca="1" si="8"/>
        <v>0.71274088929906687</v>
      </c>
      <c r="C572" s="5" t="s">
        <v>21</v>
      </c>
    </row>
    <row r="573" spans="1:3" x14ac:dyDescent="0.2">
      <c r="A573" s="5">
        <v>571</v>
      </c>
      <c r="B573" s="5">
        <f t="shared" ca="1" si="8"/>
        <v>0.72330068872380282</v>
      </c>
      <c r="C573" s="5" t="s">
        <v>22</v>
      </c>
    </row>
    <row r="574" spans="1:3" x14ac:dyDescent="0.2">
      <c r="A574" s="5">
        <v>572</v>
      </c>
      <c r="B574" s="5">
        <f t="shared" ca="1" si="8"/>
        <v>0.68493560888696248</v>
      </c>
      <c r="C574" s="5" t="s">
        <v>21</v>
      </c>
    </row>
    <row r="575" spans="1:3" x14ac:dyDescent="0.2">
      <c r="A575" s="5">
        <v>573</v>
      </c>
      <c r="B575" s="5">
        <f t="shared" ca="1" si="8"/>
        <v>0.65340724818733165</v>
      </c>
      <c r="C575" s="5" t="s">
        <v>21</v>
      </c>
    </row>
    <row r="576" spans="1:3" x14ac:dyDescent="0.2">
      <c r="A576" s="5">
        <v>574</v>
      </c>
      <c r="B576" s="5">
        <f t="shared" ca="1" si="8"/>
        <v>0.69092757209547762</v>
      </c>
      <c r="C576" s="5" t="s">
        <v>21</v>
      </c>
    </row>
    <row r="577" spans="1:3" x14ac:dyDescent="0.2">
      <c r="A577" s="5">
        <v>575</v>
      </c>
      <c r="B577" s="5">
        <f t="shared" ca="1" si="8"/>
        <v>0.77008969622710921</v>
      </c>
      <c r="C577" s="5" t="s">
        <v>22</v>
      </c>
    </row>
    <row r="578" spans="1:3" x14ac:dyDescent="0.2">
      <c r="A578" s="5">
        <v>576</v>
      </c>
      <c r="B578" s="5">
        <f t="shared" ca="1" si="8"/>
        <v>0.80401601129410394</v>
      </c>
      <c r="C578" s="5" t="s">
        <v>22</v>
      </c>
    </row>
    <row r="579" spans="1:3" x14ac:dyDescent="0.2">
      <c r="A579" s="5">
        <v>577</v>
      </c>
      <c r="B579" s="5">
        <f t="shared" ca="1" si="8"/>
        <v>0.62033865119775045</v>
      </c>
      <c r="C579" s="5" t="s">
        <v>22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0.67312839349653453</v>
      </c>
      <c r="C580" s="5" t="s">
        <v>21</v>
      </c>
    </row>
    <row r="581" spans="1:3" x14ac:dyDescent="0.2">
      <c r="A581" s="5">
        <v>579</v>
      </c>
      <c r="B581" s="5">
        <f t="shared" ca="1" si="9"/>
        <v>0.59328508173982408</v>
      </c>
      <c r="C581" s="5" t="s">
        <v>21</v>
      </c>
    </row>
    <row r="582" spans="1:3" x14ac:dyDescent="0.2">
      <c r="A582" s="5">
        <v>580</v>
      </c>
      <c r="B582" s="5">
        <f t="shared" ca="1" si="9"/>
        <v>0.82929453352280902</v>
      </c>
      <c r="C582" s="5" t="s">
        <v>21</v>
      </c>
    </row>
    <row r="583" spans="1:3" x14ac:dyDescent="0.2">
      <c r="A583" s="5">
        <v>581</v>
      </c>
      <c r="B583" s="5">
        <f t="shared" ca="1" si="9"/>
        <v>0.30817476820942841</v>
      </c>
      <c r="C583" s="5" t="s">
        <v>22</v>
      </c>
    </row>
    <row r="584" spans="1:3" x14ac:dyDescent="0.2">
      <c r="A584" s="5">
        <v>582</v>
      </c>
      <c r="B584" s="5">
        <f t="shared" ca="1" si="9"/>
        <v>0.64904868267658156</v>
      </c>
      <c r="C584" s="5" t="s">
        <v>21</v>
      </c>
    </row>
    <row r="585" spans="1:3" x14ac:dyDescent="0.2">
      <c r="A585" s="5">
        <v>583</v>
      </c>
      <c r="B585" s="5">
        <f t="shared" ca="1" si="9"/>
        <v>0.69794446625119155</v>
      </c>
      <c r="C585" s="5" t="s">
        <v>22</v>
      </c>
    </row>
    <row r="586" spans="1:3" x14ac:dyDescent="0.2">
      <c r="A586" s="5">
        <v>584</v>
      </c>
      <c r="B586" s="5">
        <f t="shared" ca="1" si="9"/>
        <v>0.73015327046627099</v>
      </c>
      <c r="C586" s="5" t="s">
        <v>21</v>
      </c>
    </row>
    <row r="587" spans="1:3" x14ac:dyDescent="0.2">
      <c r="A587" s="5">
        <v>585</v>
      </c>
      <c r="B587" s="5">
        <f t="shared" ca="1" si="9"/>
        <v>0.48118415829980277</v>
      </c>
      <c r="C587" s="5" t="s">
        <v>22</v>
      </c>
    </row>
    <row r="588" spans="1:3" x14ac:dyDescent="0.2">
      <c r="A588" s="5">
        <v>586</v>
      </c>
      <c r="B588" s="5">
        <f t="shared" ca="1" si="9"/>
        <v>0.49923668196563653</v>
      </c>
      <c r="C588" s="5" t="s">
        <v>22</v>
      </c>
    </row>
    <row r="589" spans="1:3" x14ac:dyDescent="0.2">
      <c r="A589" s="5">
        <v>587</v>
      </c>
      <c r="B589" s="5">
        <f t="shared" ca="1" si="9"/>
        <v>0.78034810696016088</v>
      </c>
      <c r="C589" s="5" t="s">
        <v>21</v>
      </c>
    </row>
    <row r="590" spans="1:3" x14ac:dyDescent="0.2">
      <c r="A590" s="5">
        <v>588</v>
      </c>
      <c r="B590" s="5">
        <f t="shared" ca="1" si="9"/>
        <v>0.62575343093302771</v>
      </c>
      <c r="C590" s="5" t="s">
        <v>22</v>
      </c>
    </row>
    <row r="591" spans="1:3" x14ac:dyDescent="0.2">
      <c r="A591" s="5">
        <v>589</v>
      </c>
      <c r="B591" s="5">
        <f t="shared" ca="1" si="9"/>
        <v>0.70953491336508367</v>
      </c>
      <c r="C591" s="5" t="s">
        <v>22</v>
      </c>
    </row>
    <row r="592" spans="1:3" x14ac:dyDescent="0.2">
      <c r="A592" s="5">
        <v>590</v>
      </c>
      <c r="B592" s="5">
        <f t="shared" ca="1" si="9"/>
        <v>0.70825585353245935</v>
      </c>
      <c r="C592" s="5" t="s">
        <v>21</v>
      </c>
    </row>
    <row r="593" spans="1:3" x14ac:dyDescent="0.2">
      <c r="A593" s="5">
        <v>591</v>
      </c>
      <c r="B593" s="5">
        <f t="shared" ca="1" si="9"/>
        <v>0.47085476555493583</v>
      </c>
      <c r="C593" s="5" t="s">
        <v>22</v>
      </c>
    </row>
    <row r="594" spans="1:3" x14ac:dyDescent="0.2">
      <c r="A594" s="5">
        <v>592</v>
      </c>
      <c r="B594" s="5">
        <f t="shared" ca="1" si="9"/>
        <v>0.7238229761846946</v>
      </c>
      <c r="C594" s="5" t="s">
        <v>21</v>
      </c>
    </row>
    <row r="595" spans="1:3" x14ac:dyDescent="0.2">
      <c r="A595" s="5">
        <v>593</v>
      </c>
      <c r="B595" s="5">
        <f t="shared" ca="1" si="9"/>
        <v>0.61262685421222995</v>
      </c>
      <c r="C595" s="5" t="s">
        <v>22</v>
      </c>
    </row>
    <row r="596" spans="1:3" x14ac:dyDescent="0.2">
      <c r="A596" s="5">
        <v>594</v>
      </c>
      <c r="B596" s="5">
        <f t="shared" ca="1" si="9"/>
        <v>0.74159016949365852</v>
      </c>
      <c r="C596" s="5" t="s">
        <v>21</v>
      </c>
    </row>
    <row r="597" spans="1:3" x14ac:dyDescent="0.2">
      <c r="A597" s="5">
        <v>595</v>
      </c>
      <c r="B597" s="5">
        <f t="shared" ca="1" si="9"/>
        <v>0.68244618905217169</v>
      </c>
      <c r="C597" s="5" t="s">
        <v>21</v>
      </c>
    </row>
    <row r="598" spans="1:3" x14ac:dyDescent="0.2">
      <c r="A598" s="5">
        <v>596</v>
      </c>
      <c r="B598" s="5">
        <f t="shared" ca="1" si="9"/>
        <v>0.75535492865774012</v>
      </c>
      <c r="C598" s="5" t="s">
        <v>21</v>
      </c>
    </row>
    <row r="599" spans="1:3" x14ac:dyDescent="0.2">
      <c r="A599" s="5">
        <v>597</v>
      </c>
      <c r="B599" s="5">
        <f t="shared" ca="1" si="9"/>
        <v>0.80947766772933982</v>
      </c>
      <c r="C599" s="5" t="s">
        <v>21</v>
      </c>
    </row>
    <row r="600" spans="1:3" x14ac:dyDescent="0.2">
      <c r="A600" s="5">
        <v>598</v>
      </c>
      <c r="B600" s="5">
        <f t="shared" ca="1" si="9"/>
        <v>0.86771603582838486</v>
      </c>
      <c r="C600" s="5" t="s">
        <v>22</v>
      </c>
    </row>
    <row r="601" spans="1:3" x14ac:dyDescent="0.2">
      <c r="A601" s="5">
        <v>599</v>
      </c>
      <c r="B601" s="5">
        <f t="shared" ca="1" si="9"/>
        <v>0.63720303966710679</v>
      </c>
      <c r="C601" s="5" t="s">
        <v>21</v>
      </c>
    </row>
    <row r="602" spans="1:3" x14ac:dyDescent="0.2">
      <c r="A602" s="5">
        <v>600</v>
      </c>
      <c r="B602" s="5">
        <f t="shared" ca="1" si="9"/>
        <v>0.86610706774053958</v>
      </c>
      <c r="C602" s="5" t="s">
        <v>21</v>
      </c>
    </row>
    <row r="603" spans="1:3" x14ac:dyDescent="0.2">
      <c r="A603" s="5">
        <v>601</v>
      </c>
      <c r="B603" s="5">
        <f t="shared" ca="1" si="9"/>
        <v>0.28060322684902106</v>
      </c>
      <c r="C603" s="5" t="s">
        <v>22</v>
      </c>
    </row>
    <row r="604" spans="1:3" x14ac:dyDescent="0.2">
      <c r="A604" s="5">
        <v>602</v>
      </c>
      <c r="B604" s="5">
        <f t="shared" ca="1" si="9"/>
        <v>0.5353398232566261</v>
      </c>
      <c r="C604" s="5" t="s">
        <v>22</v>
      </c>
    </row>
    <row r="605" spans="1:3" x14ac:dyDescent="0.2">
      <c r="A605" s="5">
        <v>603</v>
      </c>
      <c r="B605" s="5">
        <f t="shared" ca="1" si="9"/>
        <v>0.63875631160589619</v>
      </c>
      <c r="C605" s="5" t="s">
        <v>22</v>
      </c>
    </row>
    <row r="606" spans="1:3" x14ac:dyDescent="0.2">
      <c r="A606" s="5">
        <v>604</v>
      </c>
      <c r="B606" s="5">
        <f t="shared" ca="1" si="9"/>
        <v>0.60631360562993897</v>
      </c>
      <c r="C606" s="5" t="s">
        <v>21</v>
      </c>
    </row>
    <row r="607" spans="1:3" x14ac:dyDescent="0.2">
      <c r="A607" s="5">
        <v>605</v>
      </c>
      <c r="B607" s="5">
        <f t="shared" ca="1" si="9"/>
        <v>0.66263738865694988</v>
      </c>
      <c r="C607" s="5" t="s">
        <v>22</v>
      </c>
    </row>
    <row r="608" spans="1:3" x14ac:dyDescent="0.2">
      <c r="A608" s="5">
        <v>606</v>
      </c>
      <c r="B608" s="5">
        <f t="shared" ca="1" si="9"/>
        <v>0.75411916790590472</v>
      </c>
      <c r="C608" s="5" t="s">
        <v>21</v>
      </c>
    </row>
    <row r="609" spans="1:3" x14ac:dyDescent="0.2">
      <c r="A609" s="5">
        <v>607</v>
      </c>
      <c r="B609" s="5">
        <f t="shared" ca="1" si="9"/>
        <v>0.69549426899604361</v>
      </c>
      <c r="C609" s="5" t="s">
        <v>22</v>
      </c>
    </row>
    <row r="610" spans="1:3" x14ac:dyDescent="0.2">
      <c r="A610" s="5">
        <v>608</v>
      </c>
      <c r="B610" s="5">
        <f t="shared" ca="1" si="9"/>
        <v>0.75294965022188076</v>
      </c>
      <c r="C610" s="5" t="s">
        <v>21</v>
      </c>
    </row>
    <row r="611" spans="1:3" x14ac:dyDescent="0.2">
      <c r="A611" s="5">
        <v>609</v>
      </c>
      <c r="B611" s="5">
        <f t="shared" ca="1" si="9"/>
        <v>0.47151296192288467</v>
      </c>
      <c r="C611" s="5" t="s">
        <v>22</v>
      </c>
    </row>
    <row r="612" spans="1:3" x14ac:dyDescent="0.2">
      <c r="A612" s="5">
        <v>610</v>
      </c>
      <c r="B612" s="5">
        <f t="shared" ca="1" si="9"/>
        <v>0.75453052259870068</v>
      </c>
      <c r="C612" s="5" t="s">
        <v>22</v>
      </c>
    </row>
    <row r="613" spans="1:3" x14ac:dyDescent="0.2">
      <c r="A613" s="5">
        <v>611</v>
      </c>
      <c r="B613" s="5">
        <f t="shared" ca="1" si="9"/>
        <v>0.73300091897106001</v>
      </c>
      <c r="C613" s="5" t="s">
        <v>21</v>
      </c>
    </row>
    <row r="614" spans="1:3" x14ac:dyDescent="0.2">
      <c r="A614" s="5">
        <v>612</v>
      </c>
      <c r="B614" s="5">
        <f t="shared" ca="1" si="9"/>
        <v>0.58056585772048619</v>
      </c>
      <c r="C614" s="5" t="s">
        <v>21</v>
      </c>
    </row>
    <row r="615" spans="1:3" x14ac:dyDescent="0.2">
      <c r="A615" s="5">
        <v>613</v>
      </c>
      <c r="B615" s="5">
        <f t="shared" ca="1" si="9"/>
        <v>0.71767047324896138</v>
      </c>
      <c r="C615" s="5" t="s">
        <v>22</v>
      </c>
    </row>
    <row r="616" spans="1:3" x14ac:dyDescent="0.2">
      <c r="A616" s="5">
        <v>614</v>
      </c>
      <c r="B616" s="5">
        <f t="shared" ca="1" si="9"/>
        <v>0.55433493027583536</v>
      </c>
      <c r="C616" s="5" t="s">
        <v>22</v>
      </c>
    </row>
    <row r="617" spans="1:3" x14ac:dyDescent="0.2">
      <c r="A617" s="5">
        <v>615</v>
      </c>
      <c r="B617" s="5">
        <f t="shared" ca="1" si="9"/>
        <v>0.90751165058949401</v>
      </c>
      <c r="C617" s="5" t="s">
        <v>22</v>
      </c>
    </row>
    <row r="618" spans="1:3" x14ac:dyDescent="0.2">
      <c r="A618" s="5">
        <v>616</v>
      </c>
      <c r="B618" s="5">
        <f t="shared" ca="1" si="9"/>
        <v>0.55835593204378697</v>
      </c>
      <c r="C618" s="5" t="s">
        <v>21</v>
      </c>
    </row>
    <row r="619" spans="1:3" x14ac:dyDescent="0.2">
      <c r="A619" s="5">
        <v>617</v>
      </c>
      <c r="B619" s="5">
        <f t="shared" ca="1" si="9"/>
        <v>0.80953403753951148</v>
      </c>
      <c r="C619" s="5" t="s">
        <v>21</v>
      </c>
    </row>
    <row r="620" spans="1:3" x14ac:dyDescent="0.2">
      <c r="A620" s="5">
        <v>618</v>
      </c>
      <c r="B620" s="5">
        <f t="shared" ca="1" si="9"/>
        <v>0.6987386098891365</v>
      </c>
      <c r="C620" s="5" t="s">
        <v>21</v>
      </c>
    </row>
    <row r="621" spans="1:3" x14ac:dyDescent="0.2">
      <c r="A621" s="5">
        <v>619</v>
      </c>
      <c r="B621" s="5">
        <f t="shared" ca="1" si="9"/>
        <v>0.42638964297455884</v>
      </c>
      <c r="C621" s="5" t="s">
        <v>22</v>
      </c>
    </row>
    <row r="622" spans="1:3" x14ac:dyDescent="0.2">
      <c r="A622" s="5">
        <v>620</v>
      </c>
      <c r="B622" s="5">
        <f t="shared" ca="1" si="9"/>
        <v>0.92093607279898992</v>
      </c>
      <c r="C622" s="5" t="s">
        <v>22</v>
      </c>
    </row>
    <row r="623" spans="1:3" x14ac:dyDescent="0.2">
      <c r="A623" s="5">
        <v>621</v>
      </c>
      <c r="B623" s="5">
        <f t="shared" ca="1" si="9"/>
        <v>0.71135549471992132</v>
      </c>
      <c r="C623" s="5" t="s">
        <v>21</v>
      </c>
    </row>
    <row r="624" spans="1:3" x14ac:dyDescent="0.2">
      <c r="A624" s="5">
        <v>622</v>
      </c>
      <c r="B624" s="5">
        <f t="shared" ca="1" si="9"/>
        <v>0.76885315480179905</v>
      </c>
      <c r="C624" s="5" t="s">
        <v>21</v>
      </c>
    </row>
    <row r="625" spans="1:3" x14ac:dyDescent="0.2">
      <c r="A625" s="5">
        <v>623</v>
      </c>
      <c r="B625" s="5">
        <f t="shared" ca="1" si="9"/>
        <v>0.79009246509931386</v>
      </c>
      <c r="C625" s="5" t="s">
        <v>21</v>
      </c>
    </row>
    <row r="626" spans="1:3" x14ac:dyDescent="0.2">
      <c r="A626" s="5">
        <v>624</v>
      </c>
      <c r="B626" s="5">
        <f t="shared" ca="1" si="9"/>
        <v>0.58866081093494838</v>
      </c>
      <c r="C626" s="5" t="s">
        <v>22</v>
      </c>
    </row>
    <row r="627" spans="1:3" x14ac:dyDescent="0.2">
      <c r="A627" s="5">
        <v>625</v>
      </c>
      <c r="B627" s="5">
        <f t="shared" ca="1" si="9"/>
        <v>0.67521213620541642</v>
      </c>
      <c r="C627" s="5" t="s">
        <v>21</v>
      </c>
    </row>
    <row r="628" spans="1:3" x14ac:dyDescent="0.2">
      <c r="A628" s="5">
        <v>626</v>
      </c>
      <c r="B628" s="5">
        <f t="shared" ca="1" si="9"/>
        <v>0.42598628247660125</v>
      </c>
      <c r="C628" s="5" t="s">
        <v>22</v>
      </c>
    </row>
    <row r="629" spans="1:3" x14ac:dyDescent="0.2">
      <c r="A629" s="5">
        <v>627</v>
      </c>
      <c r="B629" s="5">
        <f t="shared" ca="1" si="9"/>
        <v>0.85762104872885647</v>
      </c>
      <c r="C629" s="5" t="s">
        <v>22</v>
      </c>
    </row>
    <row r="630" spans="1:3" x14ac:dyDescent="0.2">
      <c r="A630" s="5">
        <v>628</v>
      </c>
      <c r="B630" s="5">
        <f t="shared" ca="1" si="9"/>
        <v>0.61864798449387959</v>
      </c>
      <c r="C630" s="5" t="s">
        <v>22</v>
      </c>
    </row>
    <row r="631" spans="1:3" x14ac:dyDescent="0.2">
      <c r="A631" s="5">
        <v>629</v>
      </c>
      <c r="B631" s="5">
        <f t="shared" ca="1" si="9"/>
        <v>0.23442163111108888</v>
      </c>
      <c r="C631" s="5" t="s">
        <v>22</v>
      </c>
    </row>
    <row r="632" spans="1:3" x14ac:dyDescent="0.2">
      <c r="A632" s="5">
        <v>630</v>
      </c>
      <c r="B632" s="5">
        <f t="shared" ca="1" si="9"/>
        <v>0.55551634103258185</v>
      </c>
      <c r="C632" s="5" t="s">
        <v>21</v>
      </c>
    </row>
    <row r="633" spans="1:3" x14ac:dyDescent="0.2">
      <c r="A633" s="5">
        <v>631</v>
      </c>
      <c r="B633" s="5">
        <f t="shared" ca="1" si="9"/>
        <v>0.66912920099361717</v>
      </c>
      <c r="C633" s="5" t="s">
        <v>21</v>
      </c>
    </row>
    <row r="634" spans="1:3" x14ac:dyDescent="0.2">
      <c r="A634" s="5">
        <v>632</v>
      </c>
      <c r="B634" s="5">
        <f t="shared" ca="1" si="9"/>
        <v>0.33304250820426773</v>
      </c>
      <c r="C634" s="5" t="s">
        <v>22</v>
      </c>
    </row>
    <row r="635" spans="1:3" x14ac:dyDescent="0.2">
      <c r="A635" s="5">
        <v>633</v>
      </c>
      <c r="B635" s="5">
        <f t="shared" ca="1" si="9"/>
        <v>0.54130400277336221</v>
      </c>
      <c r="C635" s="5" t="s">
        <v>21</v>
      </c>
    </row>
    <row r="636" spans="1:3" x14ac:dyDescent="0.2">
      <c r="A636" s="5">
        <v>634</v>
      </c>
      <c r="B636" s="5">
        <f t="shared" ca="1" si="9"/>
        <v>0.85845310578855805</v>
      </c>
      <c r="C636" s="5" t="s">
        <v>21</v>
      </c>
    </row>
    <row r="637" spans="1:3" x14ac:dyDescent="0.2">
      <c r="A637" s="5">
        <v>635</v>
      </c>
      <c r="B637" s="5">
        <f t="shared" ca="1" si="9"/>
        <v>0.7346585531334866</v>
      </c>
      <c r="C637" s="5" t="s">
        <v>21</v>
      </c>
    </row>
    <row r="638" spans="1:3" x14ac:dyDescent="0.2">
      <c r="A638" s="5">
        <v>636</v>
      </c>
      <c r="B638" s="5">
        <f t="shared" ca="1" si="9"/>
        <v>0.7909635018385579</v>
      </c>
      <c r="C638" s="5" t="s">
        <v>22</v>
      </c>
    </row>
    <row r="639" spans="1:3" x14ac:dyDescent="0.2">
      <c r="A639" s="5">
        <v>637</v>
      </c>
      <c r="B639" s="5">
        <f t="shared" ca="1" si="9"/>
        <v>0.42259837818293744</v>
      </c>
      <c r="C639" s="5" t="s">
        <v>22</v>
      </c>
    </row>
    <row r="640" spans="1:3" x14ac:dyDescent="0.2">
      <c r="A640" s="5">
        <v>638</v>
      </c>
      <c r="B640" s="5">
        <f t="shared" ca="1" si="9"/>
        <v>0.55542857791160172</v>
      </c>
      <c r="C640" s="5" t="s">
        <v>21</v>
      </c>
    </row>
    <row r="641" spans="1:3" x14ac:dyDescent="0.2">
      <c r="A641" s="5">
        <v>639</v>
      </c>
      <c r="B641" s="5">
        <f t="shared" ca="1" si="9"/>
        <v>0.74008616807421446</v>
      </c>
      <c r="C641" s="5" t="s">
        <v>22</v>
      </c>
    </row>
    <row r="642" spans="1:3" x14ac:dyDescent="0.2">
      <c r="A642" s="5">
        <v>640</v>
      </c>
      <c r="B642" s="5">
        <f t="shared" ca="1" si="9"/>
        <v>0.74671536345127143</v>
      </c>
      <c r="C642" s="5" t="s">
        <v>21</v>
      </c>
    </row>
    <row r="643" spans="1:3" x14ac:dyDescent="0.2">
      <c r="A643" s="5">
        <v>641</v>
      </c>
      <c r="B643" s="5">
        <f t="shared" ca="1" si="9"/>
        <v>0.57522088672189842</v>
      </c>
      <c r="C643" s="5" t="s">
        <v>21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0.50743323613900959</v>
      </c>
      <c r="C644" s="5" t="s">
        <v>22</v>
      </c>
    </row>
    <row r="645" spans="1:3" x14ac:dyDescent="0.2">
      <c r="A645" s="5">
        <v>643</v>
      </c>
      <c r="B645" s="5">
        <f t="shared" ca="1" si="10"/>
        <v>0.65643511173905367</v>
      </c>
      <c r="C645" s="5" t="s">
        <v>21</v>
      </c>
    </row>
    <row r="646" spans="1:3" x14ac:dyDescent="0.2">
      <c r="A646" s="5">
        <v>644</v>
      </c>
      <c r="B646" s="5">
        <f t="shared" ca="1" si="10"/>
        <v>0.55196071626673227</v>
      </c>
      <c r="C646" s="5" t="s">
        <v>22</v>
      </c>
    </row>
    <row r="647" spans="1:3" x14ac:dyDescent="0.2">
      <c r="A647" s="5">
        <v>645</v>
      </c>
      <c r="B647" s="5">
        <f t="shared" ca="1" si="10"/>
        <v>0.53939439771199371</v>
      </c>
      <c r="C647" s="5" t="s">
        <v>22</v>
      </c>
    </row>
    <row r="648" spans="1:3" x14ac:dyDescent="0.2">
      <c r="A648" s="5">
        <v>646</v>
      </c>
      <c r="B648" s="5">
        <f t="shared" ca="1" si="10"/>
        <v>0.62850120364236073</v>
      </c>
      <c r="C648" s="5" t="s">
        <v>22</v>
      </c>
    </row>
    <row r="649" spans="1:3" x14ac:dyDescent="0.2">
      <c r="A649" s="5">
        <v>647</v>
      </c>
      <c r="B649" s="5">
        <f t="shared" ca="1" si="10"/>
        <v>0.74211634671595972</v>
      </c>
      <c r="C649" s="5" t="s">
        <v>21</v>
      </c>
    </row>
    <row r="650" spans="1:3" x14ac:dyDescent="0.2">
      <c r="A650" s="5">
        <v>648</v>
      </c>
      <c r="B650" s="5">
        <f t="shared" ca="1" si="10"/>
        <v>0.57607981344675352</v>
      </c>
      <c r="C650" s="5" t="s">
        <v>21</v>
      </c>
    </row>
    <row r="651" spans="1:3" x14ac:dyDescent="0.2">
      <c r="A651" s="5">
        <v>649</v>
      </c>
      <c r="B651" s="5">
        <f t="shared" ca="1" si="10"/>
        <v>0.7870569555421274</v>
      </c>
      <c r="C651" s="5" t="s">
        <v>21</v>
      </c>
    </row>
    <row r="652" spans="1:3" x14ac:dyDescent="0.2">
      <c r="A652" s="5">
        <v>650</v>
      </c>
      <c r="B652" s="5">
        <f t="shared" ca="1" si="10"/>
        <v>0.74066364248125516</v>
      </c>
      <c r="C652" s="5" t="s">
        <v>21</v>
      </c>
    </row>
    <row r="653" spans="1:3" x14ac:dyDescent="0.2">
      <c r="A653" s="5">
        <v>651</v>
      </c>
      <c r="B653" s="5">
        <f t="shared" ca="1" si="10"/>
        <v>0.76162026148985751</v>
      </c>
      <c r="C653" s="5" t="s">
        <v>22</v>
      </c>
    </row>
    <row r="654" spans="1:3" x14ac:dyDescent="0.2">
      <c r="A654" s="5">
        <v>652</v>
      </c>
      <c r="B654" s="5">
        <f t="shared" ca="1" si="10"/>
        <v>0.55956549306634074</v>
      </c>
      <c r="C654" s="5" t="s">
        <v>22</v>
      </c>
    </row>
    <row r="655" spans="1:3" x14ac:dyDescent="0.2">
      <c r="A655" s="5">
        <v>653</v>
      </c>
      <c r="B655" s="5">
        <f t="shared" ca="1" si="10"/>
        <v>0.67210230487245126</v>
      </c>
      <c r="C655" s="5" t="s">
        <v>22</v>
      </c>
    </row>
    <row r="656" spans="1:3" x14ac:dyDescent="0.2">
      <c r="A656" s="5">
        <v>654</v>
      </c>
      <c r="B656" s="5">
        <f t="shared" ca="1" si="10"/>
        <v>0.77182677289881729</v>
      </c>
      <c r="C656" s="5" t="s">
        <v>22</v>
      </c>
    </row>
    <row r="657" spans="1:3" x14ac:dyDescent="0.2">
      <c r="A657" s="5">
        <v>655</v>
      </c>
      <c r="B657" s="5">
        <f t="shared" ca="1" si="10"/>
        <v>0.59874139775262758</v>
      </c>
      <c r="C657" s="5" t="s">
        <v>22</v>
      </c>
    </row>
    <row r="658" spans="1:3" x14ac:dyDescent="0.2">
      <c r="A658" s="5">
        <v>656</v>
      </c>
      <c r="B658" s="5">
        <f t="shared" ca="1" si="10"/>
        <v>0.8398649758799277</v>
      </c>
      <c r="C658" s="5" t="s">
        <v>22</v>
      </c>
    </row>
    <row r="659" spans="1:3" x14ac:dyDescent="0.2">
      <c r="A659" s="5">
        <v>657</v>
      </c>
      <c r="B659" s="5">
        <f t="shared" ca="1" si="10"/>
        <v>0.87892715534070931</v>
      </c>
      <c r="C659" s="5" t="s">
        <v>21</v>
      </c>
    </row>
    <row r="660" spans="1:3" x14ac:dyDescent="0.2">
      <c r="A660" s="5">
        <v>658</v>
      </c>
      <c r="B660" s="5">
        <f t="shared" ca="1" si="10"/>
        <v>0.5810407332924038</v>
      </c>
      <c r="C660" s="5" t="s">
        <v>22</v>
      </c>
    </row>
    <row r="661" spans="1:3" x14ac:dyDescent="0.2">
      <c r="A661" s="5">
        <v>659</v>
      </c>
      <c r="B661" s="5">
        <f t="shared" ca="1" si="10"/>
        <v>0.73314060779744694</v>
      </c>
      <c r="C661" s="5" t="s">
        <v>21</v>
      </c>
    </row>
    <row r="662" spans="1:3" x14ac:dyDescent="0.2">
      <c r="A662" s="5">
        <v>660</v>
      </c>
      <c r="B662" s="5">
        <f t="shared" ca="1" si="10"/>
        <v>0.604451677396596</v>
      </c>
      <c r="C662" s="5" t="s">
        <v>22</v>
      </c>
    </row>
    <row r="663" spans="1:3" x14ac:dyDescent="0.2">
      <c r="A663" s="5">
        <v>661</v>
      </c>
      <c r="B663" s="5">
        <f t="shared" ca="1" si="10"/>
        <v>0.61162846734006604</v>
      </c>
      <c r="C663" s="5" t="s">
        <v>21</v>
      </c>
    </row>
    <row r="664" spans="1:3" x14ac:dyDescent="0.2">
      <c r="A664" s="5">
        <v>662</v>
      </c>
      <c r="B664" s="5">
        <f t="shared" ca="1" si="10"/>
        <v>0.36586043330570439</v>
      </c>
      <c r="C664" s="5" t="s">
        <v>22</v>
      </c>
    </row>
    <row r="665" spans="1:3" x14ac:dyDescent="0.2">
      <c r="A665" s="5">
        <v>663</v>
      </c>
      <c r="B665" s="5">
        <f t="shared" ca="1" si="10"/>
        <v>0.71341097101896955</v>
      </c>
      <c r="C665" s="5" t="s">
        <v>22</v>
      </c>
    </row>
    <row r="666" spans="1:3" x14ac:dyDescent="0.2">
      <c r="A666" s="5">
        <v>664</v>
      </c>
      <c r="B666" s="5">
        <f t="shared" ca="1" si="10"/>
        <v>0.65283525454924607</v>
      </c>
      <c r="C666" s="5" t="s">
        <v>21</v>
      </c>
    </row>
    <row r="667" spans="1:3" x14ac:dyDescent="0.2">
      <c r="A667" s="5">
        <v>665</v>
      </c>
      <c r="B667" s="5">
        <f t="shared" ca="1" si="10"/>
        <v>0.74744631332054734</v>
      </c>
      <c r="C667" s="5" t="s">
        <v>22</v>
      </c>
    </row>
    <row r="668" spans="1:3" x14ac:dyDescent="0.2">
      <c r="A668" s="5">
        <v>666</v>
      </c>
      <c r="B668" s="5">
        <f t="shared" ca="1" si="10"/>
        <v>0.5373917637830129</v>
      </c>
      <c r="C668" s="5" t="s">
        <v>22</v>
      </c>
    </row>
    <row r="669" spans="1:3" x14ac:dyDescent="0.2">
      <c r="A669" s="5">
        <v>667</v>
      </c>
      <c r="B669" s="5">
        <f t="shared" ca="1" si="10"/>
        <v>0.79897637914841102</v>
      </c>
      <c r="C669" s="5" t="s">
        <v>21</v>
      </c>
    </row>
    <row r="670" spans="1:3" x14ac:dyDescent="0.2">
      <c r="A670" s="5">
        <v>668</v>
      </c>
      <c r="B670" s="5">
        <f t="shared" ca="1" si="10"/>
        <v>0.79605246235950178</v>
      </c>
      <c r="C670" s="5" t="s">
        <v>22</v>
      </c>
    </row>
    <row r="671" spans="1:3" x14ac:dyDescent="0.2">
      <c r="A671" s="5">
        <v>669</v>
      </c>
      <c r="B671" s="5">
        <f t="shared" ca="1" si="10"/>
        <v>0.27964484886952901</v>
      </c>
      <c r="C671" s="5" t="s">
        <v>22</v>
      </c>
    </row>
    <row r="672" spans="1:3" x14ac:dyDescent="0.2">
      <c r="A672" s="5">
        <v>670</v>
      </c>
      <c r="B672" s="5">
        <f t="shared" ca="1" si="10"/>
        <v>0.80200147655221476</v>
      </c>
      <c r="C672" s="5" t="s">
        <v>22</v>
      </c>
    </row>
    <row r="673" spans="1:3" x14ac:dyDescent="0.2">
      <c r="A673" s="5">
        <v>671</v>
      </c>
      <c r="B673" s="5">
        <f t="shared" ca="1" si="10"/>
        <v>0.27764451602269175</v>
      </c>
      <c r="C673" s="5" t="s">
        <v>22</v>
      </c>
    </row>
    <row r="674" spans="1:3" x14ac:dyDescent="0.2">
      <c r="A674" s="5">
        <v>672</v>
      </c>
      <c r="B674" s="5">
        <f t="shared" ca="1" si="10"/>
        <v>0.30586922529986899</v>
      </c>
      <c r="C674" s="5" t="s">
        <v>22</v>
      </c>
    </row>
    <row r="675" spans="1:3" x14ac:dyDescent="0.2">
      <c r="A675" s="5">
        <v>673</v>
      </c>
      <c r="B675" s="5">
        <f t="shared" ca="1" si="10"/>
        <v>0.73281841232181777</v>
      </c>
      <c r="C675" s="5" t="s">
        <v>22</v>
      </c>
    </row>
    <row r="676" spans="1:3" x14ac:dyDescent="0.2">
      <c r="A676" s="5">
        <v>674</v>
      </c>
      <c r="B676" s="5">
        <f t="shared" ca="1" si="10"/>
        <v>0.76710135512482702</v>
      </c>
      <c r="C676" s="5" t="s">
        <v>21</v>
      </c>
    </row>
    <row r="677" spans="1:3" x14ac:dyDescent="0.2">
      <c r="A677" s="5">
        <v>675</v>
      </c>
      <c r="B677" s="5">
        <f t="shared" ca="1" si="10"/>
        <v>0.56061631167298409</v>
      </c>
      <c r="C677" s="5" t="s">
        <v>22</v>
      </c>
    </row>
    <row r="678" spans="1:3" x14ac:dyDescent="0.2">
      <c r="A678" s="5">
        <v>676</v>
      </c>
      <c r="B678" s="5">
        <f t="shared" ca="1" si="10"/>
        <v>0.86934139321651127</v>
      </c>
      <c r="C678" s="5" t="s">
        <v>21</v>
      </c>
    </row>
    <row r="679" spans="1:3" x14ac:dyDescent="0.2">
      <c r="A679" s="5">
        <v>677</v>
      </c>
      <c r="B679" s="5">
        <f t="shared" ca="1" si="10"/>
        <v>0.54777437068228851</v>
      </c>
      <c r="C679" s="5" t="s">
        <v>22</v>
      </c>
    </row>
    <row r="680" spans="1:3" x14ac:dyDescent="0.2">
      <c r="A680" s="5">
        <v>678</v>
      </c>
      <c r="B680" s="5">
        <f t="shared" ca="1" si="10"/>
        <v>0.57776628061420809</v>
      </c>
      <c r="C680" s="5" t="s">
        <v>21</v>
      </c>
    </row>
    <row r="681" spans="1:3" x14ac:dyDescent="0.2">
      <c r="A681" s="5">
        <v>679</v>
      </c>
      <c r="B681" s="5">
        <f t="shared" ca="1" si="10"/>
        <v>0.80848736161576995</v>
      </c>
      <c r="C681" s="5" t="s">
        <v>22</v>
      </c>
    </row>
    <row r="682" spans="1:3" x14ac:dyDescent="0.2">
      <c r="A682" s="5">
        <v>680</v>
      </c>
      <c r="B682" s="5">
        <f t="shared" ca="1" si="10"/>
        <v>0.70079183176156246</v>
      </c>
      <c r="C682" s="5" t="s">
        <v>22</v>
      </c>
    </row>
    <row r="683" spans="1:3" x14ac:dyDescent="0.2">
      <c r="A683" s="5">
        <v>681</v>
      </c>
      <c r="B683" s="5">
        <f t="shared" ca="1" si="10"/>
        <v>0.72043974532262101</v>
      </c>
      <c r="C683" s="5" t="s">
        <v>22</v>
      </c>
    </row>
    <row r="684" spans="1:3" x14ac:dyDescent="0.2">
      <c r="A684" s="5">
        <v>682</v>
      </c>
      <c r="B684" s="5">
        <f t="shared" ca="1" si="10"/>
        <v>0.44234445540221168</v>
      </c>
      <c r="C684" s="5" t="s">
        <v>22</v>
      </c>
    </row>
    <row r="685" spans="1:3" x14ac:dyDescent="0.2">
      <c r="A685" s="5">
        <v>683</v>
      </c>
      <c r="B685" s="5">
        <f t="shared" ca="1" si="10"/>
        <v>0.57260396795510204</v>
      </c>
      <c r="C685" s="5" t="s">
        <v>22</v>
      </c>
    </row>
    <row r="686" spans="1:3" x14ac:dyDescent="0.2">
      <c r="A686" s="5">
        <v>684</v>
      </c>
      <c r="B686" s="5">
        <f t="shared" ca="1" si="10"/>
        <v>0.47562016995078887</v>
      </c>
      <c r="C686" s="5" t="s">
        <v>22</v>
      </c>
    </row>
    <row r="687" spans="1:3" x14ac:dyDescent="0.2">
      <c r="A687" s="5">
        <v>685</v>
      </c>
      <c r="B687" s="5">
        <f t="shared" ca="1" si="10"/>
        <v>0.79602493370047367</v>
      </c>
      <c r="C687" s="5" t="s">
        <v>21</v>
      </c>
    </row>
    <row r="688" spans="1:3" x14ac:dyDescent="0.2">
      <c r="A688" s="5">
        <v>686</v>
      </c>
      <c r="B688" s="5">
        <f t="shared" ca="1" si="10"/>
        <v>0.54870944569671087</v>
      </c>
      <c r="C688" s="5" t="s">
        <v>22</v>
      </c>
    </row>
    <row r="689" spans="1:3" x14ac:dyDescent="0.2">
      <c r="A689" s="5">
        <v>687</v>
      </c>
      <c r="B689" s="5">
        <f t="shared" ca="1" si="10"/>
        <v>0.816383484681654</v>
      </c>
      <c r="C689" s="5" t="s">
        <v>22</v>
      </c>
    </row>
    <row r="690" spans="1:3" x14ac:dyDescent="0.2">
      <c r="A690" s="5">
        <v>688</v>
      </c>
      <c r="B690" s="5">
        <f t="shared" ca="1" si="10"/>
        <v>0.67591758374071675</v>
      </c>
      <c r="C690" s="5" t="s">
        <v>22</v>
      </c>
    </row>
    <row r="691" spans="1:3" x14ac:dyDescent="0.2">
      <c r="A691" s="5">
        <v>689</v>
      </c>
      <c r="B691" s="5">
        <f t="shared" ca="1" si="10"/>
        <v>0.84772130278328572</v>
      </c>
      <c r="C691" s="5" t="s">
        <v>22</v>
      </c>
    </row>
    <row r="692" spans="1:3" x14ac:dyDescent="0.2">
      <c r="A692" s="5">
        <v>690</v>
      </c>
      <c r="B692" s="5">
        <f t="shared" ca="1" si="10"/>
        <v>0.77045141728428479</v>
      </c>
      <c r="C692" s="5" t="s">
        <v>21</v>
      </c>
    </row>
    <row r="693" spans="1:3" x14ac:dyDescent="0.2">
      <c r="A693" s="5">
        <v>691</v>
      </c>
      <c r="B693" s="5">
        <f t="shared" ca="1" si="10"/>
        <v>0.71444746243257151</v>
      </c>
      <c r="C693" s="5" t="s">
        <v>21</v>
      </c>
    </row>
    <row r="694" spans="1:3" x14ac:dyDescent="0.2">
      <c r="A694" s="5">
        <v>692</v>
      </c>
      <c r="B694" s="5">
        <f t="shared" ca="1" si="10"/>
        <v>0.71319157757836316</v>
      </c>
      <c r="C694" s="5" t="s">
        <v>21</v>
      </c>
    </row>
    <row r="695" spans="1:3" x14ac:dyDescent="0.2">
      <c r="A695" s="5">
        <v>693</v>
      </c>
      <c r="B695" s="5">
        <f t="shared" ca="1" si="10"/>
        <v>0.54066676515733703</v>
      </c>
      <c r="C695" s="5" t="s">
        <v>21</v>
      </c>
    </row>
    <row r="696" spans="1:3" x14ac:dyDescent="0.2">
      <c r="A696" s="5">
        <v>694</v>
      </c>
      <c r="B696" s="5">
        <f t="shared" ca="1" si="10"/>
        <v>0.62536146452996833</v>
      </c>
      <c r="C696" s="5" t="s">
        <v>22</v>
      </c>
    </row>
    <row r="697" spans="1:3" x14ac:dyDescent="0.2">
      <c r="A697" s="5">
        <v>695</v>
      </c>
      <c r="B697" s="5">
        <f t="shared" ca="1" si="10"/>
        <v>0.82205298882031519</v>
      </c>
      <c r="C697" s="5" t="s">
        <v>22</v>
      </c>
    </row>
    <row r="698" spans="1:3" x14ac:dyDescent="0.2">
      <c r="A698" s="5">
        <v>696</v>
      </c>
      <c r="B698" s="5">
        <f t="shared" ca="1" si="10"/>
        <v>0.3144390059704949</v>
      </c>
      <c r="C698" s="5" t="s">
        <v>22</v>
      </c>
    </row>
    <row r="699" spans="1:3" x14ac:dyDescent="0.2">
      <c r="A699" s="5">
        <v>697</v>
      </c>
      <c r="B699" s="5">
        <f t="shared" ca="1" si="10"/>
        <v>0.79509647507715542</v>
      </c>
      <c r="C699" s="5" t="s">
        <v>22</v>
      </c>
    </row>
    <row r="700" spans="1:3" x14ac:dyDescent="0.2">
      <c r="A700" s="5">
        <v>698</v>
      </c>
      <c r="B700" s="5">
        <f t="shared" ca="1" si="10"/>
        <v>0.58457388421538303</v>
      </c>
      <c r="C700" s="5" t="s">
        <v>21</v>
      </c>
    </row>
    <row r="701" spans="1:3" x14ac:dyDescent="0.2">
      <c r="A701" s="5">
        <v>699</v>
      </c>
      <c r="B701" s="5">
        <f t="shared" ca="1" si="10"/>
        <v>0.17778385870599328</v>
      </c>
      <c r="C701" s="5" t="s">
        <v>22</v>
      </c>
    </row>
    <row r="702" spans="1:3" x14ac:dyDescent="0.2">
      <c r="A702" s="5">
        <v>700</v>
      </c>
      <c r="B702" s="5">
        <f t="shared" ca="1" si="10"/>
        <v>0.61116708829739352</v>
      </c>
      <c r="C702" s="5" t="s">
        <v>22</v>
      </c>
    </row>
    <row r="703" spans="1:3" x14ac:dyDescent="0.2">
      <c r="A703" s="5">
        <v>701</v>
      </c>
      <c r="B703" s="5">
        <f t="shared" ca="1" si="10"/>
        <v>0.81935094051340263</v>
      </c>
      <c r="C703" s="5" t="s">
        <v>22</v>
      </c>
    </row>
    <row r="704" spans="1:3" x14ac:dyDescent="0.2">
      <c r="A704" s="5">
        <v>702</v>
      </c>
      <c r="B704" s="5">
        <f t="shared" ca="1" si="10"/>
        <v>0.33897371035936591</v>
      </c>
      <c r="C704" s="5" t="s">
        <v>22</v>
      </c>
    </row>
    <row r="705" spans="1:3" x14ac:dyDescent="0.2">
      <c r="A705" s="5">
        <v>703</v>
      </c>
      <c r="B705" s="5">
        <f t="shared" ca="1" si="10"/>
        <v>0.70444919298151831</v>
      </c>
      <c r="C705" s="5" t="s">
        <v>21</v>
      </c>
    </row>
    <row r="706" spans="1:3" x14ac:dyDescent="0.2">
      <c r="A706" s="5">
        <v>704</v>
      </c>
      <c r="B706" s="5">
        <f t="shared" ca="1" si="10"/>
        <v>0.92057156006764895</v>
      </c>
      <c r="C706" s="5" t="s">
        <v>21</v>
      </c>
    </row>
    <row r="707" spans="1:3" x14ac:dyDescent="0.2">
      <c r="A707" s="5">
        <v>705</v>
      </c>
      <c r="B707" s="5">
        <f t="shared" ca="1" si="10"/>
        <v>0.68052385270033366</v>
      </c>
      <c r="C707" s="5" t="s">
        <v>22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0.36895071841552374</v>
      </c>
      <c r="C708" s="5" t="s">
        <v>22</v>
      </c>
    </row>
    <row r="709" spans="1:3" x14ac:dyDescent="0.2">
      <c r="A709" s="5">
        <v>707</v>
      </c>
      <c r="B709" s="5">
        <f t="shared" ca="1" si="11"/>
        <v>0.75766448993056634</v>
      </c>
      <c r="C709" s="5" t="s">
        <v>22</v>
      </c>
    </row>
    <row r="710" spans="1:3" x14ac:dyDescent="0.2">
      <c r="A710" s="5">
        <v>708</v>
      </c>
      <c r="B710" s="5">
        <f t="shared" ca="1" si="11"/>
        <v>0.75975794160134014</v>
      </c>
      <c r="C710" s="5" t="s">
        <v>21</v>
      </c>
    </row>
    <row r="711" spans="1:3" x14ac:dyDescent="0.2">
      <c r="A711" s="5">
        <v>709</v>
      </c>
      <c r="B711" s="5">
        <f t="shared" ca="1" si="11"/>
        <v>0.95964126328999955</v>
      </c>
      <c r="C711" s="5" t="s">
        <v>21</v>
      </c>
    </row>
    <row r="712" spans="1:3" x14ac:dyDescent="0.2">
      <c r="A712" s="5">
        <v>710</v>
      </c>
      <c r="B712" s="5">
        <f t="shared" ca="1" si="11"/>
        <v>0.63034791619138608</v>
      </c>
      <c r="C712" s="5" t="s">
        <v>21</v>
      </c>
    </row>
    <row r="713" spans="1:3" x14ac:dyDescent="0.2">
      <c r="A713" s="5">
        <v>711</v>
      </c>
      <c r="B713" s="5">
        <f t="shared" ca="1" si="11"/>
        <v>0.62332919996220681</v>
      </c>
      <c r="C713" s="5" t="s">
        <v>22</v>
      </c>
    </row>
    <row r="714" spans="1:3" x14ac:dyDescent="0.2">
      <c r="A714" s="5">
        <v>712</v>
      </c>
      <c r="B714" s="5">
        <f t="shared" ca="1" si="11"/>
        <v>0.87914332931324224</v>
      </c>
      <c r="C714" s="5" t="s">
        <v>21</v>
      </c>
    </row>
    <row r="715" spans="1:3" x14ac:dyDescent="0.2">
      <c r="A715" s="5">
        <v>713</v>
      </c>
      <c r="B715" s="5">
        <f t="shared" ca="1" si="11"/>
        <v>0.5599150589877554</v>
      </c>
      <c r="C715" s="5" t="s">
        <v>22</v>
      </c>
    </row>
    <row r="716" spans="1:3" x14ac:dyDescent="0.2">
      <c r="A716" s="5">
        <v>714</v>
      </c>
      <c r="B716" s="5">
        <f t="shared" ca="1" si="11"/>
        <v>0.52785441225867746</v>
      </c>
      <c r="C716" s="5" t="s">
        <v>22</v>
      </c>
    </row>
    <row r="717" spans="1:3" x14ac:dyDescent="0.2">
      <c r="A717" s="5">
        <v>715</v>
      </c>
      <c r="B717" s="5">
        <f t="shared" ca="1" si="11"/>
        <v>0.70270154184065103</v>
      </c>
      <c r="C717" s="5" t="s">
        <v>22</v>
      </c>
    </row>
    <row r="718" spans="1:3" x14ac:dyDescent="0.2">
      <c r="A718" s="5">
        <v>716</v>
      </c>
      <c r="B718" s="5">
        <f t="shared" ca="1" si="11"/>
        <v>0.62311928532626026</v>
      </c>
      <c r="C718" s="5" t="s">
        <v>21</v>
      </c>
    </row>
    <row r="719" spans="1:3" x14ac:dyDescent="0.2">
      <c r="A719" s="5">
        <v>717</v>
      </c>
      <c r="B719" s="5">
        <f t="shared" ca="1" si="11"/>
        <v>0.75127978366547277</v>
      </c>
      <c r="C719" s="5" t="s">
        <v>22</v>
      </c>
    </row>
    <row r="720" spans="1:3" x14ac:dyDescent="0.2">
      <c r="A720" s="5">
        <v>718</v>
      </c>
      <c r="B720" s="5">
        <f t="shared" ca="1" si="11"/>
        <v>0.812933494797072</v>
      </c>
      <c r="C720" s="5" t="s">
        <v>22</v>
      </c>
    </row>
    <row r="721" spans="1:3" x14ac:dyDescent="0.2">
      <c r="A721" s="5">
        <v>719</v>
      </c>
      <c r="B721" s="5">
        <f t="shared" ca="1" si="11"/>
        <v>0.44975432683602579</v>
      </c>
      <c r="C721" s="5" t="s">
        <v>22</v>
      </c>
    </row>
    <row r="722" spans="1:3" x14ac:dyDescent="0.2">
      <c r="A722" s="5">
        <v>720</v>
      </c>
      <c r="B722" s="5">
        <f t="shared" ca="1" si="11"/>
        <v>0.64072418408725484</v>
      </c>
      <c r="C722" s="5" t="s">
        <v>22</v>
      </c>
    </row>
    <row r="723" spans="1:3" x14ac:dyDescent="0.2">
      <c r="A723" s="5">
        <v>721</v>
      </c>
      <c r="B723" s="5">
        <f t="shared" ca="1" si="11"/>
        <v>0.77962581948300891</v>
      </c>
      <c r="C723" s="5" t="s">
        <v>21</v>
      </c>
    </row>
    <row r="724" spans="1:3" x14ac:dyDescent="0.2">
      <c r="A724" s="5">
        <v>722</v>
      </c>
      <c r="B724" s="5">
        <f t="shared" ca="1" si="11"/>
        <v>0.32254840848550087</v>
      </c>
      <c r="C724" s="5" t="s">
        <v>22</v>
      </c>
    </row>
    <row r="725" spans="1:3" x14ac:dyDescent="0.2">
      <c r="A725" s="5">
        <v>723</v>
      </c>
      <c r="B725" s="5">
        <f t="shared" ca="1" si="11"/>
        <v>0.83110858560984791</v>
      </c>
      <c r="C725" s="5" t="s">
        <v>21</v>
      </c>
    </row>
    <row r="726" spans="1:3" x14ac:dyDescent="0.2">
      <c r="A726" s="5">
        <v>724</v>
      </c>
      <c r="B726" s="5">
        <f t="shared" ca="1" si="11"/>
        <v>0.90395200657758945</v>
      </c>
      <c r="C726" s="5" t="s">
        <v>21</v>
      </c>
    </row>
    <row r="727" spans="1:3" x14ac:dyDescent="0.2">
      <c r="A727" s="5">
        <v>725</v>
      </c>
      <c r="B727" s="5">
        <f t="shared" ca="1" si="11"/>
        <v>0.5088871998073029</v>
      </c>
      <c r="C727" s="5" t="s">
        <v>22</v>
      </c>
    </row>
    <row r="728" spans="1:3" x14ac:dyDescent="0.2">
      <c r="A728" s="5">
        <v>726</v>
      </c>
      <c r="B728" s="5">
        <f t="shared" ca="1" si="11"/>
        <v>0.50516605990363839</v>
      </c>
      <c r="C728" s="5" t="s">
        <v>22</v>
      </c>
    </row>
    <row r="729" spans="1:3" x14ac:dyDescent="0.2">
      <c r="A729" s="5">
        <v>727</v>
      </c>
      <c r="B729" s="5">
        <f t="shared" ca="1" si="11"/>
        <v>0.85386114701579763</v>
      </c>
      <c r="C729" s="5" t="s">
        <v>21</v>
      </c>
    </row>
    <row r="730" spans="1:3" x14ac:dyDescent="0.2">
      <c r="A730" s="5">
        <v>728</v>
      </c>
      <c r="B730" s="5">
        <f t="shared" ca="1" si="11"/>
        <v>0.40656999224962664</v>
      </c>
      <c r="C730" s="5" t="s">
        <v>22</v>
      </c>
    </row>
    <row r="731" spans="1:3" x14ac:dyDescent="0.2">
      <c r="A731" s="5">
        <v>729</v>
      </c>
      <c r="B731" s="5">
        <f t="shared" ca="1" si="11"/>
        <v>0.70277055717795978</v>
      </c>
      <c r="C731" s="5" t="s">
        <v>21</v>
      </c>
    </row>
    <row r="732" spans="1:3" x14ac:dyDescent="0.2">
      <c r="A732" s="5">
        <v>730</v>
      </c>
      <c r="B732" s="5">
        <f t="shared" ca="1" si="11"/>
        <v>0.69503999526814808</v>
      </c>
      <c r="C732" s="5" t="s">
        <v>21</v>
      </c>
    </row>
    <row r="733" spans="1:3" x14ac:dyDescent="0.2">
      <c r="A733" s="5">
        <v>731</v>
      </c>
      <c r="B733" s="5">
        <f t="shared" ca="1" si="11"/>
        <v>0.78136785126636044</v>
      </c>
      <c r="C733" s="5" t="s">
        <v>21</v>
      </c>
    </row>
    <row r="734" spans="1:3" x14ac:dyDescent="0.2">
      <c r="A734" s="5">
        <v>732</v>
      </c>
      <c r="B734" s="5">
        <f t="shared" ca="1" si="11"/>
        <v>0.88767521237157687</v>
      </c>
      <c r="C734" s="5" t="s">
        <v>22</v>
      </c>
    </row>
    <row r="735" spans="1:3" x14ac:dyDescent="0.2">
      <c r="A735" s="5">
        <v>733</v>
      </c>
      <c r="B735" s="5">
        <f t="shared" ca="1" si="11"/>
        <v>0.60007666622812628</v>
      </c>
      <c r="C735" s="5" t="s">
        <v>22</v>
      </c>
    </row>
    <row r="736" spans="1:3" x14ac:dyDescent="0.2">
      <c r="A736" s="5">
        <v>734</v>
      </c>
      <c r="B736" s="5">
        <f t="shared" ca="1" si="11"/>
        <v>0.48164250732753455</v>
      </c>
      <c r="C736" s="5" t="s">
        <v>22</v>
      </c>
    </row>
    <row r="737" spans="1:3" x14ac:dyDescent="0.2">
      <c r="A737" s="5">
        <v>735</v>
      </c>
      <c r="B737" s="5">
        <f t="shared" ca="1" si="11"/>
        <v>0.7151149943403371</v>
      </c>
      <c r="C737" s="5" t="s">
        <v>21</v>
      </c>
    </row>
    <row r="738" spans="1:3" x14ac:dyDescent="0.2">
      <c r="A738" s="5">
        <v>736</v>
      </c>
      <c r="B738" s="5">
        <f t="shared" ca="1" si="11"/>
        <v>0.50102693297935574</v>
      </c>
      <c r="C738" s="5" t="s">
        <v>21</v>
      </c>
    </row>
    <row r="739" spans="1:3" x14ac:dyDescent="0.2">
      <c r="A739" s="5">
        <v>737</v>
      </c>
      <c r="B739" s="5">
        <f t="shared" ca="1" si="11"/>
        <v>0.83453670868624885</v>
      </c>
      <c r="C739" s="5" t="s">
        <v>22</v>
      </c>
    </row>
    <row r="740" spans="1:3" x14ac:dyDescent="0.2">
      <c r="A740" s="5">
        <v>738</v>
      </c>
      <c r="B740" s="5">
        <f t="shared" ca="1" si="11"/>
        <v>0.58600016929428356</v>
      </c>
      <c r="C740" s="5" t="s">
        <v>22</v>
      </c>
    </row>
    <row r="741" spans="1:3" x14ac:dyDescent="0.2">
      <c r="A741" s="5">
        <v>739</v>
      </c>
      <c r="B741" s="5">
        <f t="shared" ca="1" si="11"/>
        <v>0.68702292104510143</v>
      </c>
      <c r="C741" s="5" t="s">
        <v>21</v>
      </c>
    </row>
    <row r="742" spans="1:3" x14ac:dyDescent="0.2">
      <c r="A742" s="5">
        <v>740</v>
      </c>
      <c r="B742" s="5">
        <f t="shared" ca="1" si="11"/>
        <v>0.77220817629682359</v>
      </c>
      <c r="C742" s="5" t="s">
        <v>22</v>
      </c>
    </row>
    <row r="743" spans="1:3" x14ac:dyDescent="0.2">
      <c r="A743" s="5">
        <v>741</v>
      </c>
      <c r="B743" s="5">
        <f t="shared" ca="1" si="11"/>
        <v>0.53012284656988518</v>
      </c>
      <c r="C743" s="5" t="s">
        <v>22</v>
      </c>
    </row>
    <row r="744" spans="1:3" x14ac:dyDescent="0.2">
      <c r="A744" s="5">
        <v>742</v>
      </c>
      <c r="B744" s="5">
        <f t="shared" ca="1" si="11"/>
        <v>0.63657761670460511</v>
      </c>
      <c r="C744" s="5" t="s">
        <v>22</v>
      </c>
    </row>
    <row r="745" spans="1:3" x14ac:dyDescent="0.2">
      <c r="A745" s="5">
        <v>743</v>
      </c>
      <c r="B745" s="5">
        <f t="shared" ca="1" si="11"/>
        <v>0.56575715471613497</v>
      </c>
      <c r="C745" s="5" t="s">
        <v>22</v>
      </c>
    </row>
    <row r="746" spans="1:3" x14ac:dyDescent="0.2">
      <c r="A746" s="5">
        <v>744</v>
      </c>
      <c r="B746" s="5">
        <f t="shared" ca="1" si="11"/>
        <v>0.6492627070130832</v>
      </c>
      <c r="C746" s="5" t="s">
        <v>22</v>
      </c>
    </row>
    <row r="747" spans="1:3" x14ac:dyDescent="0.2">
      <c r="A747" s="5">
        <v>745</v>
      </c>
      <c r="B747" s="5">
        <f t="shared" ca="1" si="11"/>
        <v>0.84682081186799618</v>
      </c>
      <c r="C747" s="5" t="s">
        <v>22</v>
      </c>
    </row>
    <row r="748" spans="1:3" x14ac:dyDescent="0.2">
      <c r="A748" s="5">
        <v>746</v>
      </c>
      <c r="B748" s="5">
        <f t="shared" ca="1" si="11"/>
        <v>0.7035815489562679</v>
      </c>
      <c r="C748" s="5" t="s">
        <v>21</v>
      </c>
    </row>
    <row r="749" spans="1:3" x14ac:dyDescent="0.2">
      <c r="A749" s="5">
        <v>747</v>
      </c>
      <c r="B749" s="5">
        <f t="shared" ca="1" si="11"/>
        <v>0.71163704117695104</v>
      </c>
      <c r="C749" s="5" t="s">
        <v>21</v>
      </c>
    </row>
    <row r="750" spans="1:3" x14ac:dyDescent="0.2">
      <c r="A750" s="5">
        <v>748</v>
      </c>
      <c r="B750" s="5">
        <f t="shared" ca="1" si="11"/>
        <v>0.56605740009740524</v>
      </c>
      <c r="C750" s="5" t="s">
        <v>22</v>
      </c>
    </row>
    <row r="751" spans="1:3" x14ac:dyDescent="0.2">
      <c r="A751" s="5">
        <v>749</v>
      </c>
      <c r="B751" s="5">
        <f t="shared" ca="1" si="11"/>
        <v>0.92886483982765111</v>
      </c>
      <c r="C751" s="5" t="s">
        <v>21</v>
      </c>
    </row>
    <row r="752" spans="1:3" x14ac:dyDescent="0.2">
      <c r="A752" s="5">
        <v>750</v>
      </c>
      <c r="B752" s="5">
        <f t="shared" ca="1" si="11"/>
        <v>0.46549306715970185</v>
      </c>
      <c r="C752" s="5" t="s">
        <v>22</v>
      </c>
    </row>
    <row r="753" spans="1:3" x14ac:dyDescent="0.2">
      <c r="A753" s="5">
        <v>751</v>
      </c>
      <c r="B753" s="5">
        <f t="shared" ca="1" si="11"/>
        <v>0.63983020243474831</v>
      </c>
      <c r="C753" s="5" t="s">
        <v>21</v>
      </c>
    </row>
    <row r="754" spans="1:3" x14ac:dyDescent="0.2">
      <c r="A754" s="5">
        <v>752</v>
      </c>
      <c r="B754" s="5">
        <f t="shared" ca="1" si="11"/>
        <v>0.66094640287305795</v>
      </c>
      <c r="C754" s="5" t="s">
        <v>21</v>
      </c>
    </row>
    <row r="755" spans="1:3" x14ac:dyDescent="0.2">
      <c r="A755" s="5">
        <v>753</v>
      </c>
      <c r="B755" s="5">
        <f t="shared" ca="1" si="11"/>
        <v>0.65296007806619538</v>
      </c>
      <c r="C755" s="5" t="s">
        <v>21</v>
      </c>
    </row>
    <row r="756" spans="1:3" x14ac:dyDescent="0.2">
      <c r="A756" s="5">
        <v>754</v>
      </c>
      <c r="B756" s="5">
        <f t="shared" ca="1" si="11"/>
        <v>0.70114027768761444</v>
      </c>
      <c r="C756" s="5" t="s">
        <v>21</v>
      </c>
    </row>
    <row r="757" spans="1:3" x14ac:dyDescent="0.2">
      <c r="A757" s="5">
        <v>755</v>
      </c>
      <c r="B757" s="5">
        <f t="shared" ca="1" si="11"/>
        <v>0.43463076872115797</v>
      </c>
      <c r="C757" s="5" t="s">
        <v>22</v>
      </c>
    </row>
    <row r="758" spans="1:3" x14ac:dyDescent="0.2">
      <c r="A758" s="5">
        <v>756</v>
      </c>
      <c r="B758" s="5">
        <f t="shared" ca="1" si="11"/>
        <v>0.66359512777191154</v>
      </c>
      <c r="C758" s="5" t="s">
        <v>21</v>
      </c>
    </row>
    <row r="759" spans="1:3" x14ac:dyDescent="0.2">
      <c r="A759" s="5">
        <v>757</v>
      </c>
      <c r="B759" s="5">
        <f t="shared" ca="1" si="11"/>
        <v>0.55087802183578494</v>
      </c>
      <c r="C759" s="5" t="s">
        <v>21</v>
      </c>
    </row>
    <row r="760" spans="1:3" x14ac:dyDescent="0.2">
      <c r="A760" s="5">
        <v>758</v>
      </c>
      <c r="B760" s="5">
        <f t="shared" ca="1" si="11"/>
        <v>0.73991583058420929</v>
      </c>
      <c r="C760" s="5" t="s">
        <v>21</v>
      </c>
    </row>
    <row r="761" spans="1:3" x14ac:dyDescent="0.2">
      <c r="A761" s="5">
        <v>759</v>
      </c>
      <c r="B761" s="5">
        <f t="shared" ca="1" si="11"/>
        <v>0.69818860161707963</v>
      </c>
      <c r="C761" s="5" t="s">
        <v>22</v>
      </c>
    </row>
    <row r="762" spans="1:3" x14ac:dyDescent="0.2">
      <c r="A762" s="5">
        <v>760</v>
      </c>
      <c r="B762" s="5">
        <f t="shared" ca="1" si="11"/>
        <v>0.63980140367137117</v>
      </c>
      <c r="C762" s="5" t="s">
        <v>21</v>
      </c>
    </row>
    <row r="763" spans="1:3" x14ac:dyDescent="0.2">
      <c r="A763" s="5">
        <v>761</v>
      </c>
      <c r="B763" s="5">
        <f t="shared" ca="1" si="11"/>
        <v>0.52465894521845335</v>
      </c>
      <c r="C763" s="5" t="s">
        <v>22</v>
      </c>
    </row>
    <row r="764" spans="1:3" x14ac:dyDescent="0.2">
      <c r="A764" s="5">
        <v>762</v>
      </c>
      <c r="B764" s="5">
        <f t="shared" ca="1" si="11"/>
        <v>0.78582978453620367</v>
      </c>
      <c r="C764" s="5" t="s">
        <v>22</v>
      </c>
    </row>
    <row r="765" spans="1:3" x14ac:dyDescent="0.2">
      <c r="A765" s="5">
        <v>763</v>
      </c>
      <c r="B765" s="5">
        <f t="shared" ca="1" si="11"/>
        <v>0.59073460727344707</v>
      </c>
      <c r="C765" s="5" t="s">
        <v>22</v>
      </c>
    </row>
    <row r="766" spans="1:3" x14ac:dyDescent="0.2">
      <c r="A766" s="5">
        <v>764</v>
      </c>
      <c r="B766" s="5">
        <f t="shared" ca="1" si="11"/>
        <v>0.51532033860043036</v>
      </c>
      <c r="C766" s="5" t="s">
        <v>22</v>
      </c>
    </row>
    <row r="767" spans="1:3" x14ac:dyDescent="0.2">
      <c r="A767" s="5">
        <v>765</v>
      </c>
      <c r="B767" s="5">
        <f t="shared" ca="1" si="11"/>
        <v>0.65276602223499292</v>
      </c>
      <c r="C767" s="5" t="s">
        <v>22</v>
      </c>
    </row>
    <row r="768" spans="1:3" x14ac:dyDescent="0.2">
      <c r="A768" s="5">
        <v>766</v>
      </c>
      <c r="B768" s="5">
        <f t="shared" ca="1" si="11"/>
        <v>0.60502977722499895</v>
      </c>
      <c r="C768" s="5" t="s">
        <v>22</v>
      </c>
    </row>
    <row r="769" spans="1:3" x14ac:dyDescent="0.2">
      <c r="A769" s="5">
        <v>767</v>
      </c>
      <c r="B769" s="5">
        <f t="shared" ca="1" si="11"/>
        <v>0.64552579957439704</v>
      </c>
      <c r="C769" s="5" t="s">
        <v>21</v>
      </c>
    </row>
    <row r="770" spans="1:3" x14ac:dyDescent="0.2">
      <c r="A770" s="5">
        <v>768</v>
      </c>
      <c r="B770" s="5">
        <f t="shared" ca="1" si="11"/>
        <v>0.74370450404534361</v>
      </c>
      <c r="C770" s="5" t="s">
        <v>21</v>
      </c>
    </row>
    <row r="771" spans="1:3" x14ac:dyDescent="0.2">
      <c r="A771" s="5">
        <v>769</v>
      </c>
      <c r="B771" s="5">
        <f t="shared" ca="1" si="11"/>
        <v>0.66347677140911232</v>
      </c>
      <c r="C771" s="5" t="s">
        <v>22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0.68916607960318454</v>
      </c>
      <c r="C772" s="5" t="s">
        <v>21</v>
      </c>
    </row>
    <row r="773" spans="1:3" x14ac:dyDescent="0.2">
      <c r="A773" s="5">
        <v>771</v>
      </c>
      <c r="B773" s="5">
        <f t="shared" ca="1" si="12"/>
        <v>0.50699177810783458</v>
      </c>
      <c r="C773" s="5" t="s">
        <v>22</v>
      </c>
    </row>
    <row r="774" spans="1:3" x14ac:dyDescent="0.2">
      <c r="A774" s="5">
        <v>772</v>
      </c>
      <c r="B774" s="5">
        <f t="shared" ca="1" si="12"/>
        <v>0.42524410711193616</v>
      </c>
      <c r="C774" s="5" t="s">
        <v>22</v>
      </c>
    </row>
    <row r="775" spans="1:3" x14ac:dyDescent="0.2">
      <c r="A775" s="5">
        <v>773</v>
      </c>
      <c r="B775" s="5">
        <f t="shared" ca="1" si="12"/>
        <v>0.61183021520953818</v>
      </c>
      <c r="C775" s="5" t="s">
        <v>22</v>
      </c>
    </row>
    <row r="776" spans="1:3" x14ac:dyDescent="0.2">
      <c r="A776" s="5">
        <v>774</v>
      </c>
      <c r="B776" s="5">
        <f t="shared" ca="1" si="12"/>
        <v>0.77879590037079538</v>
      </c>
      <c r="C776" s="5" t="s">
        <v>22</v>
      </c>
    </row>
    <row r="777" spans="1:3" x14ac:dyDescent="0.2">
      <c r="A777" s="5">
        <v>775</v>
      </c>
      <c r="B777" s="5">
        <f t="shared" ca="1" si="12"/>
        <v>0.69687681951516589</v>
      </c>
      <c r="C777" s="5" t="s">
        <v>21</v>
      </c>
    </row>
    <row r="778" spans="1:3" x14ac:dyDescent="0.2">
      <c r="A778" s="5">
        <v>776</v>
      </c>
      <c r="B778" s="5">
        <f t="shared" ca="1" si="12"/>
        <v>0.6876783037291655</v>
      </c>
      <c r="C778" s="5" t="s">
        <v>22</v>
      </c>
    </row>
    <row r="779" spans="1:3" x14ac:dyDescent="0.2">
      <c r="A779" s="5">
        <v>777</v>
      </c>
      <c r="B779" s="5">
        <f t="shared" ca="1" si="12"/>
        <v>0.68407936663795499</v>
      </c>
      <c r="C779" s="5" t="s">
        <v>21</v>
      </c>
    </row>
    <row r="780" spans="1:3" x14ac:dyDescent="0.2">
      <c r="A780" s="5">
        <v>778</v>
      </c>
      <c r="B780" s="5">
        <f t="shared" ca="1" si="12"/>
        <v>0.84288034516117261</v>
      </c>
      <c r="C780" s="5" t="s">
        <v>21</v>
      </c>
    </row>
    <row r="781" spans="1:3" x14ac:dyDescent="0.2">
      <c r="A781" s="5">
        <v>779</v>
      </c>
      <c r="B781" s="5">
        <f t="shared" ca="1" si="12"/>
        <v>0.73469890858546394</v>
      </c>
      <c r="C781" s="5" t="s">
        <v>21</v>
      </c>
    </row>
    <row r="782" spans="1:3" x14ac:dyDescent="0.2">
      <c r="A782" s="5">
        <v>780</v>
      </c>
      <c r="B782" s="5">
        <f t="shared" ca="1" si="12"/>
        <v>0.67976639897621949</v>
      </c>
      <c r="C782" s="5" t="s">
        <v>21</v>
      </c>
    </row>
    <row r="783" spans="1:3" x14ac:dyDescent="0.2">
      <c r="A783" s="5">
        <v>781</v>
      </c>
      <c r="B783" s="5">
        <f t="shared" ca="1" si="12"/>
        <v>0.83889414524213557</v>
      </c>
      <c r="C783" s="5" t="s">
        <v>21</v>
      </c>
    </row>
    <row r="784" spans="1:3" x14ac:dyDescent="0.2">
      <c r="A784" s="5">
        <v>782</v>
      </c>
      <c r="B784" s="5">
        <f t="shared" ca="1" si="12"/>
        <v>0.69657702791817111</v>
      </c>
      <c r="C784" s="5" t="s">
        <v>21</v>
      </c>
    </row>
    <row r="785" spans="1:3" x14ac:dyDescent="0.2">
      <c r="A785" s="5">
        <v>783</v>
      </c>
      <c r="B785" s="5">
        <f t="shared" ca="1" si="12"/>
        <v>0.73804897760851074</v>
      </c>
      <c r="C785" s="5" t="s">
        <v>21</v>
      </c>
    </row>
    <row r="786" spans="1:3" x14ac:dyDescent="0.2">
      <c r="A786" s="5">
        <v>784</v>
      </c>
      <c r="B786" s="5">
        <f t="shared" ca="1" si="12"/>
        <v>0.58942375718179896</v>
      </c>
      <c r="C786" s="5" t="s">
        <v>22</v>
      </c>
    </row>
    <row r="787" spans="1:3" x14ac:dyDescent="0.2">
      <c r="A787" s="5">
        <v>785</v>
      </c>
      <c r="B787" s="5">
        <f t="shared" ca="1" si="12"/>
        <v>0.64914779909246967</v>
      </c>
      <c r="C787" s="5" t="s">
        <v>22</v>
      </c>
    </row>
    <row r="788" spans="1:3" x14ac:dyDescent="0.2">
      <c r="A788" s="5">
        <v>786</v>
      </c>
      <c r="B788" s="5">
        <f t="shared" ca="1" si="12"/>
        <v>0.68748792554682359</v>
      </c>
      <c r="C788" s="5" t="s">
        <v>22</v>
      </c>
    </row>
    <row r="789" spans="1:3" x14ac:dyDescent="0.2">
      <c r="A789" s="5">
        <v>787</v>
      </c>
      <c r="B789" s="5">
        <f t="shared" ca="1" si="12"/>
        <v>0.60351109189650631</v>
      </c>
      <c r="C789" s="5" t="s">
        <v>21</v>
      </c>
    </row>
    <row r="790" spans="1:3" x14ac:dyDescent="0.2">
      <c r="A790" s="5">
        <v>788</v>
      </c>
      <c r="B790" s="5">
        <f t="shared" ca="1" si="12"/>
        <v>0.81572002226049722</v>
      </c>
      <c r="C790" s="5" t="s">
        <v>22</v>
      </c>
    </row>
    <row r="791" spans="1:3" x14ac:dyDescent="0.2">
      <c r="A791" s="5">
        <v>789</v>
      </c>
      <c r="B791" s="5">
        <f t="shared" ca="1" si="12"/>
        <v>0.66893493265186277</v>
      </c>
      <c r="C791" s="5" t="s">
        <v>21</v>
      </c>
    </row>
    <row r="792" spans="1:3" x14ac:dyDescent="0.2">
      <c r="A792" s="5">
        <v>790</v>
      </c>
      <c r="B792" s="5">
        <f t="shared" ca="1" si="12"/>
        <v>0.66657545483967484</v>
      </c>
      <c r="C792" s="5" t="s">
        <v>21</v>
      </c>
    </row>
    <row r="793" spans="1:3" x14ac:dyDescent="0.2">
      <c r="A793" s="5">
        <v>791</v>
      </c>
      <c r="B793" s="5">
        <f t="shared" ca="1" si="12"/>
        <v>0.52247620820416873</v>
      </c>
      <c r="C793" s="5" t="s">
        <v>22</v>
      </c>
    </row>
    <row r="794" spans="1:3" x14ac:dyDescent="0.2">
      <c r="A794" s="5">
        <v>792</v>
      </c>
      <c r="B794" s="5">
        <f t="shared" ca="1" si="12"/>
        <v>0.62044483704932984</v>
      </c>
      <c r="C794" s="5" t="s">
        <v>22</v>
      </c>
    </row>
    <row r="795" spans="1:3" x14ac:dyDescent="0.2">
      <c r="A795" s="5">
        <v>793</v>
      </c>
      <c r="B795" s="5">
        <f t="shared" ca="1" si="12"/>
        <v>0.90759525617929415</v>
      </c>
      <c r="C795" s="5" t="s">
        <v>21</v>
      </c>
    </row>
    <row r="796" spans="1:3" x14ac:dyDescent="0.2">
      <c r="A796" s="5">
        <v>794</v>
      </c>
      <c r="B796" s="5">
        <f t="shared" ca="1" si="12"/>
        <v>0.43442846930569123</v>
      </c>
      <c r="C796" s="5" t="s">
        <v>22</v>
      </c>
    </row>
    <row r="797" spans="1:3" x14ac:dyDescent="0.2">
      <c r="A797" s="5">
        <v>795</v>
      </c>
      <c r="B797" s="5">
        <f t="shared" ca="1" si="12"/>
        <v>0.68242633626335125</v>
      </c>
      <c r="C797" s="5" t="s">
        <v>22</v>
      </c>
    </row>
    <row r="798" spans="1:3" x14ac:dyDescent="0.2">
      <c r="A798" s="5">
        <v>796</v>
      </c>
      <c r="B798" s="5">
        <f t="shared" ca="1" si="12"/>
        <v>0.48599200146158095</v>
      </c>
      <c r="C798" s="5" t="s">
        <v>22</v>
      </c>
    </row>
    <row r="799" spans="1:3" x14ac:dyDescent="0.2">
      <c r="A799" s="5">
        <v>797</v>
      </c>
      <c r="B799" s="5">
        <f t="shared" ca="1" si="12"/>
        <v>0.59182256618017226</v>
      </c>
      <c r="C799" s="5" t="s">
        <v>22</v>
      </c>
    </row>
    <row r="800" spans="1:3" x14ac:dyDescent="0.2">
      <c r="A800" s="5">
        <v>798</v>
      </c>
      <c r="B800" s="5">
        <f t="shared" ca="1" si="12"/>
        <v>0.77326323778377992</v>
      </c>
      <c r="C800" s="5" t="s">
        <v>21</v>
      </c>
    </row>
    <row r="801" spans="1:3" x14ac:dyDescent="0.2">
      <c r="A801" s="5">
        <v>799</v>
      </c>
      <c r="B801" s="5">
        <f t="shared" ca="1" si="12"/>
        <v>0.63309197922674509</v>
      </c>
      <c r="C801" s="5" t="s">
        <v>22</v>
      </c>
    </row>
    <row r="802" spans="1:3" x14ac:dyDescent="0.2">
      <c r="A802" s="5">
        <v>800</v>
      </c>
      <c r="B802" s="5">
        <f t="shared" ca="1" si="12"/>
        <v>0.53968951337954374</v>
      </c>
      <c r="C802" s="5" t="s">
        <v>22</v>
      </c>
    </row>
    <row r="803" spans="1:3" x14ac:dyDescent="0.2">
      <c r="A803" s="5">
        <v>801</v>
      </c>
      <c r="B803" s="5">
        <f t="shared" ca="1" si="12"/>
        <v>0.41796900077413907</v>
      </c>
      <c r="C803" s="5" t="s">
        <v>22</v>
      </c>
    </row>
    <row r="804" spans="1:3" x14ac:dyDescent="0.2">
      <c r="A804" s="5">
        <v>802</v>
      </c>
      <c r="B804" s="5">
        <f t="shared" ca="1" si="12"/>
        <v>0.41435507714748238</v>
      </c>
      <c r="C804" s="5" t="s">
        <v>22</v>
      </c>
    </row>
    <row r="805" spans="1:3" x14ac:dyDescent="0.2">
      <c r="A805" s="5">
        <v>803</v>
      </c>
      <c r="B805" s="5">
        <f t="shared" ca="1" si="12"/>
        <v>0.67857076225348578</v>
      </c>
      <c r="C805" s="5" t="s">
        <v>21</v>
      </c>
    </row>
    <row r="806" spans="1:3" x14ac:dyDescent="0.2">
      <c r="A806" s="5">
        <v>804</v>
      </c>
      <c r="B806" s="5">
        <f t="shared" ca="1" si="12"/>
        <v>0.67448073337570602</v>
      </c>
      <c r="C806" s="5" t="s">
        <v>22</v>
      </c>
    </row>
    <row r="807" spans="1:3" x14ac:dyDescent="0.2">
      <c r="A807" s="5">
        <v>805</v>
      </c>
      <c r="B807" s="5">
        <f t="shared" ca="1" si="12"/>
        <v>0.77805721568446873</v>
      </c>
      <c r="C807" s="5" t="s">
        <v>21</v>
      </c>
    </row>
    <row r="808" spans="1:3" x14ac:dyDescent="0.2">
      <c r="A808" s="5">
        <v>806</v>
      </c>
      <c r="B808" s="5">
        <f t="shared" ca="1" si="12"/>
        <v>0.90199937613637504</v>
      </c>
      <c r="C808" s="5" t="s">
        <v>22</v>
      </c>
    </row>
    <row r="809" spans="1:3" x14ac:dyDescent="0.2">
      <c r="A809" s="5">
        <v>807</v>
      </c>
      <c r="B809" s="5">
        <f t="shared" ca="1" si="12"/>
        <v>0.53148459351713928</v>
      </c>
      <c r="C809" s="5" t="s">
        <v>21</v>
      </c>
    </row>
    <row r="810" spans="1:3" x14ac:dyDescent="0.2">
      <c r="A810" s="5">
        <v>808</v>
      </c>
      <c r="B810" s="5">
        <f t="shared" ca="1" si="12"/>
        <v>0.66131646752487439</v>
      </c>
      <c r="C810" s="5" t="s">
        <v>21</v>
      </c>
    </row>
    <row r="811" spans="1:3" x14ac:dyDescent="0.2">
      <c r="A811" s="5">
        <v>809</v>
      </c>
      <c r="B811" s="5">
        <f t="shared" ca="1" si="12"/>
        <v>0.84530142210065906</v>
      </c>
      <c r="C811" s="5" t="s">
        <v>21</v>
      </c>
    </row>
    <row r="812" spans="1:3" x14ac:dyDescent="0.2">
      <c r="A812" s="5">
        <v>810</v>
      </c>
      <c r="B812" s="5">
        <f t="shared" ca="1" si="12"/>
        <v>0.77882069037419299</v>
      </c>
      <c r="C812" s="5" t="s">
        <v>21</v>
      </c>
    </row>
    <row r="813" spans="1:3" x14ac:dyDescent="0.2">
      <c r="A813" s="5">
        <v>811</v>
      </c>
      <c r="B813" s="5">
        <f t="shared" ca="1" si="12"/>
        <v>0.59174529791387653</v>
      </c>
      <c r="C813" s="5" t="s">
        <v>22</v>
      </c>
    </row>
    <row r="814" spans="1:3" x14ac:dyDescent="0.2">
      <c r="A814" s="5">
        <v>812</v>
      </c>
      <c r="B814" s="5">
        <f t="shared" ca="1" si="12"/>
        <v>0.58874760283047922</v>
      </c>
      <c r="C814" s="5" t="s">
        <v>21</v>
      </c>
    </row>
    <row r="815" spans="1:3" x14ac:dyDescent="0.2">
      <c r="A815" s="5">
        <v>813</v>
      </c>
      <c r="B815" s="5">
        <f t="shared" ca="1" si="12"/>
        <v>0.70298642439393133</v>
      </c>
      <c r="C815" s="5" t="s">
        <v>21</v>
      </c>
    </row>
    <row r="816" spans="1:3" x14ac:dyDescent="0.2">
      <c r="A816" s="5">
        <v>814</v>
      </c>
      <c r="B816" s="5">
        <f t="shared" ca="1" si="12"/>
        <v>0.59606865288031452</v>
      </c>
      <c r="C816" s="5" t="s">
        <v>22</v>
      </c>
    </row>
    <row r="817" spans="1:3" x14ac:dyDescent="0.2">
      <c r="A817" s="5">
        <v>815</v>
      </c>
      <c r="B817" s="5">
        <f t="shared" ca="1" si="12"/>
        <v>0.49801725320828549</v>
      </c>
      <c r="C817" s="5" t="s">
        <v>22</v>
      </c>
    </row>
    <row r="818" spans="1:3" x14ac:dyDescent="0.2">
      <c r="A818" s="5">
        <v>816</v>
      </c>
      <c r="B818" s="5">
        <f t="shared" ca="1" si="12"/>
        <v>0.9709384990069736</v>
      </c>
      <c r="C818" s="5" t="s">
        <v>22</v>
      </c>
    </row>
    <row r="819" spans="1:3" x14ac:dyDescent="0.2">
      <c r="A819" s="5">
        <v>817</v>
      </c>
      <c r="B819" s="5">
        <f t="shared" ca="1" si="12"/>
        <v>0.61591916360517929</v>
      </c>
      <c r="C819" s="5" t="s">
        <v>22</v>
      </c>
    </row>
    <row r="820" spans="1:3" x14ac:dyDescent="0.2">
      <c r="A820" s="5">
        <v>818</v>
      </c>
      <c r="B820" s="5">
        <f t="shared" ca="1" si="12"/>
        <v>0.50925447518230349</v>
      </c>
      <c r="C820" s="5" t="s">
        <v>22</v>
      </c>
    </row>
    <row r="821" spans="1:3" x14ac:dyDescent="0.2">
      <c r="A821" s="5">
        <v>819</v>
      </c>
      <c r="B821" s="5">
        <f t="shared" ca="1" si="12"/>
        <v>0.38824256141097208</v>
      </c>
      <c r="C821" s="5" t="s">
        <v>22</v>
      </c>
    </row>
    <row r="822" spans="1:3" x14ac:dyDescent="0.2">
      <c r="A822" s="5">
        <v>820</v>
      </c>
      <c r="B822" s="5">
        <f t="shared" ca="1" si="12"/>
        <v>0.73704489099461279</v>
      </c>
      <c r="C822" s="5" t="s">
        <v>22</v>
      </c>
    </row>
    <row r="823" spans="1:3" x14ac:dyDescent="0.2">
      <c r="A823" s="5">
        <v>821</v>
      </c>
      <c r="B823" s="5">
        <f t="shared" ca="1" si="12"/>
        <v>0.74474352889193796</v>
      </c>
      <c r="C823" s="5" t="s">
        <v>21</v>
      </c>
    </row>
    <row r="824" spans="1:3" x14ac:dyDescent="0.2">
      <c r="A824" s="5">
        <v>822</v>
      </c>
      <c r="B824" s="5">
        <f t="shared" ca="1" si="12"/>
        <v>0.56717232508735804</v>
      </c>
      <c r="C824" s="5" t="s">
        <v>22</v>
      </c>
    </row>
    <row r="825" spans="1:3" x14ac:dyDescent="0.2">
      <c r="A825" s="5">
        <v>823</v>
      </c>
      <c r="B825" s="5">
        <f t="shared" ca="1" si="12"/>
        <v>0.76084160130279255</v>
      </c>
      <c r="C825" s="5" t="s">
        <v>21</v>
      </c>
    </row>
    <row r="826" spans="1:3" x14ac:dyDescent="0.2">
      <c r="A826" s="5">
        <v>824</v>
      </c>
      <c r="B826" s="5">
        <f t="shared" ca="1" si="12"/>
        <v>0.82350321665117121</v>
      </c>
      <c r="C826" s="5" t="s">
        <v>21</v>
      </c>
    </row>
    <row r="827" spans="1:3" x14ac:dyDescent="0.2">
      <c r="A827" s="5">
        <v>825</v>
      </c>
      <c r="B827" s="5">
        <f t="shared" ca="1" si="12"/>
        <v>0.76892626868832592</v>
      </c>
      <c r="C827" s="5" t="s">
        <v>21</v>
      </c>
    </row>
    <row r="828" spans="1:3" x14ac:dyDescent="0.2">
      <c r="A828" s="5">
        <v>826</v>
      </c>
      <c r="B828" s="5">
        <f t="shared" ca="1" si="12"/>
        <v>0.83860239032091455</v>
      </c>
      <c r="C828" s="5" t="s">
        <v>22</v>
      </c>
    </row>
    <row r="829" spans="1:3" x14ac:dyDescent="0.2">
      <c r="A829" s="5">
        <v>827</v>
      </c>
      <c r="B829" s="5">
        <f t="shared" ca="1" si="12"/>
        <v>0.69761051022382659</v>
      </c>
      <c r="C829" s="5" t="s">
        <v>22</v>
      </c>
    </row>
    <row r="830" spans="1:3" x14ac:dyDescent="0.2">
      <c r="A830" s="5">
        <v>828</v>
      </c>
      <c r="B830" s="5">
        <f t="shared" ca="1" si="12"/>
        <v>0.57736246261426771</v>
      </c>
      <c r="C830" s="5" t="s">
        <v>22</v>
      </c>
    </row>
    <row r="831" spans="1:3" x14ac:dyDescent="0.2">
      <c r="A831" s="5">
        <v>829</v>
      </c>
      <c r="B831" s="5">
        <f t="shared" ca="1" si="12"/>
        <v>0.67522863438573488</v>
      </c>
      <c r="C831" s="5" t="s">
        <v>21</v>
      </c>
    </row>
    <row r="832" spans="1:3" x14ac:dyDescent="0.2">
      <c r="A832" s="5">
        <v>830</v>
      </c>
      <c r="B832" s="5">
        <f t="shared" ca="1" si="12"/>
        <v>0.70067190106925492</v>
      </c>
      <c r="C832" s="5" t="s">
        <v>22</v>
      </c>
    </row>
    <row r="833" spans="1:3" x14ac:dyDescent="0.2">
      <c r="A833" s="5">
        <v>831</v>
      </c>
      <c r="B833" s="5">
        <f t="shared" ca="1" si="12"/>
        <v>0.5462620041295434</v>
      </c>
      <c r="C833" s="5" t="s">
        <v>22</v>
      </c>
    </row>
    <row r="834" spans="1:3" x14ac:dyDescent="0.2">
      <c r="A834" s="5">
        <v>832</v>
      </c>
      <c r="B834" s="5">
        <f t="shared" ca="1" si="12"/>
        <v>0.579535971266952</v>
      </c>
      <c r="C834" s="5" t="s">
        <v>22</v>
      </c>
    </row>
    <row r="835" spans="1:3" x14ac:dyDescent="0.2">
      <c r="A835" s="5">
        <v>833</v>
      </c>
      <c r="B835" s="5">
        <f t="shared" ca="1" si="12"/>
        <v>0.66455171534048452</v>
      </c>
      <c r="C835" s="5" t="s">
        <v>21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0.55438011565638468</v>
      </c>
      <c r="C836" s="5" t="s">
        <v>22</v>
      </c>
    </row>
    <row r="837" spans="1:3" x14ac:dyDescent="0.2">
      <c r="A837" s="5">
        <v>835</v>
      </c>
      <c r="B837" s="5">
        <f t="shared" ca="1" si="13"/>
        <v>0.76469968528725107</v>
      </c>
      <c r="C837" s="5" t="s">
        <v>21</v>
      </c>
    </row>
    <row r="838" spans="1:3" x14ac:dyDescent="0.2">
      <c r="A838" s="5">
        <v>836</v>
      </c>
      <c r="B838" s="5">
        <f t="shared" ca="1" si="13"/>
        <v>0.72346966162282467</v>
      </c>
      <c r="C838" s="5" t="s">
        <v>22</v>
      </c>
    </row>
    <row r="839" spans="1:3" x14ac:dyDescent="0.2">
      <c r="A839" s="5">
        <v>837</v>
      </c>
      <c r="B839" s="5">
        <f t="shared" ca="1" si="13"/>
        <v>0.59975776463658081</v>
      </c>
      <c r="C839" s="5" t="s">
        <v>21</v>
      </c>
    </row>
    <row r="840" spans="1:3" x14ac:dyDescent="0.2">
      <c r="A840" s="5">
        <v>838</v>
      </c>
      <c r="B840" s="5">
        <f t="shared" ca="1" si="13"/>
        <v>0.92571434984242007</v>
      </c>
      <c r="C840" s="5" t="s">
        <v>22</v>
      </c>
    </row>
    <row r="841" spans="1:3" x14ac:dyDescent="0.2">
      <c r="A841" s="5">
        <v>839</v>
      </c>
      <c r="B841" s="5">
        <f t="shared" ca="1" si="13"/>
        <v>0.62426582314505663</v>
      </c>
      <c r="C841" s="5" t="s">
        <v>21</v>
      </c>
    </row>
    <row r="842" spans="1:3" x14ac:dyDescent="0.2">
      <c r="A842" s="5">
        <v>840</v>
      </c>
      <c r="B842" s="5">
        <f t="shared" ca="1" si="13"/>
        <v>0.70603912649927603</v>
      </c>
      <c r="C842" s="5" t="s">
        <v>21</v>
      </c>
    </row>
    <row r="843" spans="1:3" x14ac:dyDescent="0.2">
      <c r="A843" s="5">
        <v>841</v>
      </c>
      <c r="B843" s="5">
        <f t="shared" ca="1" si="13"/>
        <v>0.76059154233977921</v>
      </c>
      <c r="C843" s="5" t="s">
        <v>21</v>
      </c>
    </row>
    <row r="844" spans="1:3" x14ac:dyDescent="0.2">
      <c r="A844" s="5">
        <v>842</v>
      </c>
      <c r="B844" s="5">
        <f t="shared" ca="1" si="13"/>
        <v>0.78065771174062804</v>
      </c>
      <c r="C844" s="5" t="s">
        <v>22</v>
      </c>
    </row>
    <row r="845" spans="1:3" x14ac:dyDescent="0.2">
      <c r="A845" s="5">
        <v>843</v>
      </c>
      <c r="B845" s="5">
        <f t="shared" ca="1" si="13"/>
        <v>0.5704890737944921</v>
      </c>
      <c r="C845" s="5" t="s">
        <v>22</v>
      </c>
    </row>
    <row r="846" spans="1:3" x14ac:dyDescent="0.2">
      <c r="A846" s="5">
        <v>844</v>
      </c>
      <c r="B846" s="5">
        <f t="shared" ca="1" si="13"/>
        <v>0.60320879110341485</v>
      </c>
      <c r="C846" s="5" t="s">
        <v>22</v>
      </c>
    </row>
    <row r="847" spans="1:3" x14ac:dyDescent="0.2">
      <c r="A847" s="5">
        <v>845</v>
      </c>
      <c r="B847" s="5">
        <f t="shared" ca="1" si="13"/>
        <v>0.92816297516887114</v>
      </c>
      <c r="C847" s="5" t="s">
        <v>22</v>
      </c>
    </row>
    <row r="848" spans="1:3" x14ac:dyDescent="0.2">
      <c r="A848" s="5">
        <v>846</v>
      </c>
      <c r="B848" s="5">
        <f t="shared" ca="1" si="13"/>
        <v>0.56271579966615293</v>
      </c>
      <c r="C848" s="5" t="s">
        <v>22</v>
      </c>
    </row>
    <row r="849" spans="1:3" x14ac:dyDescent="0.2">
      <c r="A849" s="5">
        <v>847</v>
      </c>
      <c r="B849" s="5">
        <f t="shared" ca="1" si="13"/>
        <v>0.70159493084051139</v>
      </c>
      <c r="C849" s="5" t="s">
        <v>21</v>
      </c>
    </row>
    <row r="850" spans="1:3" x14ac:dyDescent="0.2">
      <c r="A850" s="5">
        <v>848</v>
      </c>
      <c r="B850" s="5">
        <f t="shared" ca="1" si="13"/>
        <v>0.59416622268254549</v>
      </c>
      <c r="C850" s="5" t="s">
        <v>22</v>
      </c>
    </row>
    <row r="851" spans="1:3" x14ac:dyDescent="0.2">
      <c r="A851" s="5">
        <v>849</v>
      </c>
      <c r="B851" s="5">
        <f t="shared" ca="1" si="13"/>
        <v>0.85841070840693279</v>
      </c>
      <c r="C851" s="5" t="s">
        <v>21</v>
      </c>
    </row>
    <row r="852" spans="1:3" x14ac:dyDescent="0.2">
      <c r="A852" s="5">
        <v>850</v>
      </c>
      <c r="B852" s="5">
        <f t="shared" ca="1" si="13"/>
        <v>0.57086706124171649</v>
      </c>
      <c r="C852" s="5" t="s">
        <v>22</v>
      </c>
    </row>
    <row r="853" spans="1:3" x14ac:dyDescent="0.2">
      <c r="A853" s="5">
        <v>851</v>
      </c>
      <c r="B853" s="5">
        <f t="shared" ca="1" si="13"/>
        <v>0.43549683767894964</v>
      </c>
      <c r="C853" s="5" t="s">
        <v>22</v>
      </c>
    </row>
    <row r="854" spans="1:3" x14ac:dyDescent="0.2">
      <c r="A854" s="5">
        <v>852</v>
      </c>
      <c r="B854" s="5">
        <f t="shared" ca="1" si="13"/>
        <v>0.52779445421570581</v>
      </c>
      <c r="C854" s="5" t="s">
        <v>22</v>
      </c>
    </row>
    <row r="855" spans="1:3" x14ac:dyDescent="0.2">
      <c r="A855" s="5">
        <v>853</v>
      </c>
      <c r="B855" s="5">
        <f t="shared" ca="1" si="13"/>
        <v>0.79939689895991262</v>
      </c>
      <c r="C855" s="5" t="s">
        <v>22</v>
      </c>
    </row>
    <row r="856" spans="1:3" x14ac:dyDescent="0.2">
      <c r="A856" s="5">
        <v>854</v>
      </c>
      <c r="B856" s="5">
        <f t="shared" ca="1" si="13"/>
        <v>0.94074813319202022</v>
      </c>
      <c r="C856" s="5" t="s">
        <v>22</v>
      </c>
    </row>
    <row r="857" spans="1:3" x14ac:dyDescent="0.2">
      <c r="A857" s="5">
        <v>855</v>
      </c>
      <c r="B857" s="5">
        <f t="shared" ca="1" si="13"/>
        <v>0.64669272545564382</v>
      </c>
      <c r="C857" s="5" t="s">
        <v>21</v>
      </c>
    </row>
    <row r="858" spans="1:3" x14ac:dyDescent="0.2">
      <c r="A858" s="5">
        <v>856</v>
      </c>
      <c r="B858" s="5">
        <f t="shared" ca="1" si="13"/>
        <v>0.72209578712789801</v>
      </c>
      <c r="C858" s="5" t="s">
        <v>21</v>
      </c>
    </row>
    <row r="859" spans="1:3" x14ac:dyDescent="0.2">
      <c r="A859" s="5">
        <v>857</v>
      </c>
      <c r="B859" s="5">
        <f t="shared" ca="1" si="13"/>
        <v>0.49442718803987989</v>
      </c>
      <c r="C859" s="5" t="s">
        <v>22</v>
      </c>
    </row>
    <row r="860" spans="1:3" x14ac:dyDescent="0.2">
      <c r="A860" s="5">
        <v>858</v>
      </c>
      <c r="B860" s="5">
        <f t="shared" ca="1" si="13"/>
        <v>0.55498384482651308</v>
      </c>
      <c r="C860" s="5" t="s">
        <v>22</v>
      </c>
    </row>
    <row r="861" spans="1:3" x14ac:dyDescent="0.2">
      <c r="A861" s="5">
        <v>859</v>
      </c>
      <c r="B861" s="5">
        <f t="shared" ca="1" si="13"/>
        <v>0.67049885701486334</v>
      </c>
      <c r="C861" s="5" t="s">
        <v>22</v>
      </c>
    </row>
    <row r="862" spans="1:3" x14ac:dyDescent="0.2">
      <c r="A862" s="5">
        <v>860</v>
      </c>
      <c r="B862" s="5">
        <f t="shared" ca="1" si="13"/>
        <v>0.76273384858018944</v>
      </c>
      <c r="C862" s="5" t="s">
        <v>22</v>
      </c>
    </row>
    <row r="863" spans="1:3" x14ac:dyDescent="0.2">
      <c r="A863" s="5">
        <v>861</v>
      </c>
      <c r="B863" s="5">
        <f t="shared" ca="1" si="13"/>
        <v>0.72493179322982448</v>
      </c>
      <c r="C863" s="5" t="s">
        <v>21</v>
      </c>
    </row>
    <row r="864" spans="1:3" x14ac:dyDescent="0.2">
      <c r="A864" s="5">
        <v>862</v>
      </c>
      <c r="B864" s="5">
        <f t="shared" ca="1" si="13"/>
        <v>0.45777772734155087</v>
      </c>
      <c r="C864" s="5" t="s">
        <v>22</v>
      </c>
    </row>
    <row r="865" spans="1:3" x14ac:dyDescent="0.2">
      <c r="A865" s="5">
        <v>863</v>
      </c>
      <c r="B865" s="5">
        <f t="shared" ca="1" si="13"/>
        <v>0.48926023889728554</v>
      </c>
      <c r="C865" s="5" t="s">
        <v>22</v>
      </c>
    </row>
    <row r="866" spans="1:3" x14ac:dyDescent="0.2">
      <c r="A866" s="5">
        <v>864</v>
      </c>
      <c r="B866" s="5">
        <f t="shared" ca="1" si="13"/>
        <v>0.81144136251534915</v>
      </c>
      <c r="C866" s="5" t="s">
        <v>22</v>
      </c>
    </row>
    <row r="867" spans="1:3" x14ac:dyDescent="0.2">
      <c r="A867" s="5">
        <v>865</v>
      </c>
      <c r="B867" s="5">
        <f t="shared" ca="1" si="13"/>
        <v>0.45046226292259683</v>
      </c>
      <c r="C867" s="5" t="s">
        <v>22</v>
      </c>
    </row>
    <row r="868" spans="1:3" x14ac:dyDescent="0.2">
      <c r="A868" s="5">
        <v>866</v>
      </c>
      <c r="B868" s="5">
        <f t="shared" ca="1" si="13"/>
        <v>0.52300707765352406</v>
      </c>
      <c r="C868" s="5" t="s">
        <v>22</v>
      </c>
    </row>
    <row r="869" spans="1:3" x14ac:dyDescent="0.2">
      <c r="A869" s="5">
        <v>867</v>
      </c>
      <c r="B869" s="5">
        <f t="shared" ca="1" si="13"/>
        <v>0.60845791660613968</v>
      </c>
      <c r="C869" s="5" t="s">
        <v>22</v>
      </c>
    </row>
    <row r="870" spans="1:3" x14ac:dyDescent="0.2">
      <c r="A870" s="5">
        <v>868</v>
      </c>
      <c r="B870" s="5">
        <f t="shared" ca="1" si="13"/>
        <v>0.54779553225420752</v>
      </c>
      <c r="C870" s="5" t="s">
        <v>22</v>
      </c>
    </row>
    <row r="871" spans="1:3" x14ac:dyDescent="0.2">
      <c r="A871" s="5">
        <v>869</v>
      </c>
      <c r="B871" s="5">
        <f t="shared" ca="1" si="13"/>
        <v>0.33838808369427958</v>
      </c>
      <c r="C871" s="5" t="s">
        <v>22</v>
      </c>
    </row>
    <row r="872" spans="1:3" x14ac:dyDescent="0.2">
      <c r="A872" s="5">
        <v>870</v>
      </c>
      <c r="B872" s="5">
        <f t="shared" ca="1" si="13"/>
        <v>0.63148123352169361</v>
      </c>
      <c r="C872" s="5" t="s">
        <v>22</v>
      </c>
    </row>
    <row r="873" spans="1:3" x14ac:dyDescent="0.2">
      <c r="A873" s="5">
        <v>871</v>
      </c>
      <c r="B873" s="5">
        <f t="shared" ca="1" si="13"/>
        <v>0.74254066514145589</v>
      </c>
      <c r="C873" s="5" t="s">
        <v>21</v>
      </c>
    </row>
    <row r="874" spans="1:3" x14ac:dyDescent="0.2">
      <c r="A874" s="5">
        <v>872</v>
      </c>
      <c r="B874" s="5">
        <f t="shared" ca="1" si="13"/>
        <v>0.5264540441163853</v>
      </c>
      <c r="C874" s="5" t="s">
        <v>21</v>
      </c>
    </row>
    <row r="875" spans="1:3" x14ac:dyDescent="0.2">
      <c r="A875" s="5">
        <v>873</v>
      </c>
      <c r="B875" s="5">
        <f t="shared" ca="1" si="13"/>
        <v>0.68743146842016845</v>
      </c>
      <c r="C875" s="5" t="s">
        <v>21</v>
      </c>
    </row>
    <row r="876" spans="1:3" x14ac:dyDescent="0.2">
      <c r="A876" s="5">
        <v>874</v>
      </c>
      <c r="B876" s="5">
        <f t="shared" ca="1" si="13"/>
        <v>0.42728805789165564</v>
      </c>
      <c r="C876" s="5" t="s">
        <v>22</v>
      </c>
    </row>
    <row r="877" spans="1:3" x14ac:dyDescent="0.2">
      <c r="A877" s="5">
        <v>875</v>
      </c>
      <c r="B877" s="5">
        <f t="shared" ca="1" si="13"/>
        <v>0.61816628036559862</v>
      </c>
      <c r="C877" s="5" t="s">
        <v>22</v>
      </c>
    </row>
    <row r="878" spans="1:3" x14ac:dyDescent="0.2">
      <c r="A878" s="5">
        <v>876</v>
      </c>
      <c r="B878" s="5">
        <f t="shared" ca="1" si="13"/>
        <v>0.6895180804012645</v>
      </c>
      <c r="C878" s="5" t="s">
        <v>21</v>
      </c>
    </row>
    <row r="879" spans="1:3" x14ac:dyDescent="0.2">
      <c r="A879" s="5">
        <v>877</v>
      </c>
      <c r="B879" s="5">
        <f t="shared" ca="1" si="13"/>
        <v>0.54478437143463077</v>
      </c>
      <c r="C879" s="5" t="s">
        <v>22</v>
      </c>
    </row>
    <row r="880" spans="1:3" x14ac:dyDescent="0.2">
      <c r="A880" s="5">
        <v>878</v>
      </c>
      <c r="B880" s="5">
        <f t="shared" ca="1" si="13"/>
        <v>0.7718792892686116</v>
      </c>
      <c r="C880" s="5" t="s">
        <v>22</v>
      </c>
    </row>
    <row r="881" spans="1:3" x14ac:dyDescent="0.2">
      <c r="A881" s="5">
        <v>879</v>
      </c>
      <c r="B881" s="5">
        <f t="shared" ca="1" si="13"/>
        <v>0.95303959487471146</v>
      </c>
      <c r="C881" s="5" t="s">
        <v>21</v>
      </c>
    </row>
    <row r="882" spans="1:3" x14ac:dyDescent="0.2">
      <c r="A882" s="5">
        <v>880</v>
      </c>
      <c r="B882" s="5">
        <f t="shared" ca="1" si="13"/>
        <v>0.76202797493134899</v>
      </c>
      <c r="C882" s="5" t="s">
        <v>21</v>
      </c>
    </row>
    <row r="883" spans="1:3" x14ac:dyDescent="0.2">
      <c r="A883" s="5">
        <v>881</v>
      </c>
      <c r="B883" s="5">
        <f t="shared" ca="1" si="13"/>
        <v>0.80454987373356979</v>
      </c>
      <c r="C883" s="5" t="s">
        <v>21</v>
      </c>
    </row>
    <row r="884" spans="1:3" x14ac:dyDescent="0.2">
      <c r="A884" s="5">
        <v>882</v>
      </c>
      <c r="B884" s="5">
        <f t="shared" ca="1" si="13"/>
        <v>0.9261522469970479</v>
      </c>
      <c r="C884" s="5" t="s">
        <v>21</v>
      </c>
    </row>
    <row r="885" spans="1:3" x14ac:dyDescent="0.2">
      <c r="A885" s="5">
        <v>883</v>
      </c>
      <c r="B885" s="5">
        <f t="shared" ca="1" si="13"/>
        <v>0.37291026170613478</v>
      </c>
      <c r="C885" s="5" t="s">
        <v>22</v>
      </c>
    </row>
    <row r="886" spans="1:3" x14ac:dyDescent="0.2">
      <c r="A886" s="5">
        <v>884</v>
      </c>
      <c r="B886" s="5">
        <f t="shared" ca="1" si="13"/>
        <v>0.58003725624869285</v>
      </c>
      <c r="C886" s="5" t="s">
        <v>22</v>
      </c>
    </row>
    <row r="887" spans="1:3" x14ac:dyDescent="0.2">
      <c r="A887" s="5">
        <v>885</v>
      </c>
      <c r="B887" s="5">
        <f t="shared" ca="1" si="13"/>
        <v>0.84732563537153083</v>
      </c>
      <c r="C887" s="5" t="s">
        <v>22</v>
      </c>
    </row>
    <row r="888" spans="1:3" x14ac:dyDescent="0.2">
      <c r="A888" s="5">
        <v>886</v>
      </c>
      <c r="B888" s="5">
        <f t="shared" ca="1" si="13"/>
        <v>0.68234966568050037</v>
      </c>
      <c r="C888" s="5" t="s">
        <v>21</v>
      </c>
    </row>
    <row r="889" spans="1:3" x14ac:dyDescent="0.2">
      <c r="A889" s="5">
        <v>887</v>
      </c>
      <c r="B889" s="5">
        <f t="shared" ca="1" si="13"/>
        <v>0.56515602992806735</v>
      </c>
      <c r="C889" s="5" t="s">
        <v>21</v>
      </c>
    </row>
    <row r="890" spans="1:3" x14ac:dyDescent="0.2">
      <c r="A890" s="5">
        <v>888</v>
      </c>
      <c r="B890" s="5">
        <f t="shared" ca="1" si="13"/>
        <v>0.53097824817813299</v>
      </c>
      <c r="C890" s="5" t="s">
        <v>21</v>
      </c>
    </row>
    <row r="891" spans="1:3" x14ac:dyDescent="0.2">
      <c r="A891" s="5">
        <v>889</v>
      </c>
      <c r="B891" s="5">
        <f t="shared" ca="1" si="13"/>
        <v>0.39005385421161753</v>
      </c>
      <c r="C891" s="5" t="s">
        <v>22</v>
      </c>
    </row>
    <row r="892" spans="1:3" x14ac:dyDescent="0.2">
      <c r="A892" s="5">
        <v>890</v>
      </c>
      <c r="B892" s="5">
        <f t="shared" ca="1" si="13"/>
        <v>0.57926631429979603</v>
      </c>
      <c r="C892" s="5" t="s">
        <v>22</v>
      </c>
    </row>
    <row r="893" spans="1:3" x14ac:dyDescent="0.2">
      <c r="A893" s="5">
        <v>891</v>
      </c>
      <c r="B893" s="5">
        <f t="shared" ca="1" si="13"/>
        <v>0.68897420821693633</v>
      </c>
      <c r="C893" s="5" t="s">
        <v>22</v>
      </c>
    </row>
    <row r="894" spans="1:3" x14ac:dyDescent="0.2">
      <c r="A894" s="5">
        <v>892</v>
      </c>
      <c r="B894" s="5">
        <f t="shared" ca="1" si="13"/>
        <v>0.68163114525041946</v>
      </c>
      <c r="C894" s="5" t="s">
        <v>21</v>
      </c>
    </row>
    <row r="895" spans="1:3" x14ac:dyDescent="0.2">
      <c r="A895" s="5">
        <v>893</v>
      </c>
      <c r="B895" s="5">
        <f t="shared" ca="1" si="13"/>
        <v>0.57937903873127261</v>
      </c>
      <c r="C895" s="5" t="s">
        <v>22</v>
      </c>
    </row>
    <row r="896" spans="1:3" x14ac:dyDescent="0.2">
      <c r="A896" s="5">
        <v>894</v>
      </c>
      <c r="B896" s="5">
        <f t="shared" ca="1" si="13"/>
        <v>0.64499305613723357</v>
      </c>
      <c r="C896" s="5" t="s">
        <v>21</v>
      </c>
    </row>
    <row r="897" spans="1:3" x14ac:dyDescent="0.2">
      <c r="A897" s="5">
        <v>895</v>
      </c>
      <c r="B897" s="5">
        <f t="shared" ca="1" si="13"/>
        <v>0.79750002049747704</v>
      </c>
      <c r="C897" s="5" t="s">
        <v>22</v>
      </c>
    </row>
    <row r="898" spans="1:3" x14ac:dyDescent="0.2">
      <c r="A898" s="5">
        <v>896</v>
      </c>
      <c r="B898" s="5">
        <f t="shared" ca="1" si="13"/>
        <v>0.67221845545952319</v>
      </c>
      <c r="C898" s="5" t="s">
        <v>21</v>
      </c>
    </row>
    <row r="899" spans="1:3" x14ac:dyDescent="0.2">
      <c r="A899" s="5">
        <v>897</v>
      </c>
      <c r="B899" s="5">
        <f t="shared" ca="1" si="13"/>
        <v>0.63868024436017767</v>
      </c>
      <c r="C899" s="5" t="s">
        <v>21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0.700248802799599</v>
      </c>
      <c r="C900" s="5" t="s">
        <v>21</v>
      </c>
    </row>
    <row r="901" spans="1:3" x14ac:dyDescent="0.2">
      <c r="A901" s="5">
        <v>899</v>
      </c>
      <c r="B901" s="5">
        <f t="shared" ca="1" si="14"/>
        <v>0.6752324646725002</v>
      </c>
      <c r="C901" s="5" t="s">
        <v>22</v>
      </c>
    </row>
    <row r="902" spans="1:3" x14ac:dyDescent="0.2">
      <c r="A902" s="5">
        <v>900</v>
      </c>
      <c r="B902" s="5">
        <f t="shared" ca="1" si="14"/>
        <v>0.80785691434994633</v>
      </c>
      <c r="C902" s="5" t="s">
        <v>21</v>
      </c>
    </row>
    <row r="903" spans="1:3" x14ac:dyDescent="0.2">
      <c r="A903" s="5">
        <v>901</v>
      </c>
      <c r="B903" s="5">
        <f t="shared" ca="1" si="14"/>
        <v>0.71171044979479381</v>
      </c>
      <c r="C903" s="5" t="s">
        <v>21</v>
      </c>
    </row>
    <row r="904" spans="1:3" x14ac:dyDescent="0.2">
      <c r="A904" s="5">
        <v>902</v>
      </c>
      <c r="B904" s="5">
        <f t="shared" ca="1" si="14"/>
        <v>0.86387757729908454</v>
      </c>
      <c r="C904" s="5" t="s">
        <v>21</v>
      </c>
    </row>
    <row r="905" spans="1:3" x14ac:dyDescent="0.2">
      <c r="A905" s="5">
        <v>903</v>
      </c>
      <c r="B905" s="5">
        <f t="shared" ca="1" si="14"/>
        <v>0.59290344451221577</v>
      </c>
      <c r="C905" s="5" t="s">
        <v>21</v>
      </c>
    </row>
    <row r="906" spans="1:3" x14ac:dyDescent="0.2">
      <c r="A906" s="5">
        <v>904</v>
      </c>
      <c r="B906" s="5">
        <f t="shared" ca="1" si="14"/>
        <v>0.54490202139843735</v>
      </c>
      <c r="C906" s="5" t="s">
        <v>21</v>
      </c>
    </row>
    <row r="907" spans="1:3" x14ac:dyDescent="0.2">
      <c r="A907" s="5">
        <v>905</v>
      </c>
      <c r="B907" s="5">
        <f t="shared" ca="1" si="14"/>
        <v>0.59608037510396306</v>
      </c>
      <c r="C907" s="5" t="s">
        <v>22</v>
      </c>
    </row>
    <row r="908" spans="1:3" x14ac:dyDescent="0.2">
      <c r="A908" s="5">
        <v>906</v>
      </c>
      <c r="B908" s="5">
        <f t="shared" ca="1" si="14"/>
        <v>0.51366127652047788</v>
      </c>
      <c r="C908" s="5" t="s">
        <v>22</v>
      </c>
    </row>
    <row r="909" spans="1:3" x14ac:dyDescent="0.2">
      <c r="A909" s="5">
        <v>907</v>
      </c>
      <c r="B909" s="5">
        <f t="shared" ca="1" si="14"/>
        <v>0.7210612383313868</v>
      </c>
      <c r="C909" s="5" t="s">
        <v>22</v>
      </c>
    </row>
    <row r="910" spans="1:3" x14ac:dyDescent="0.2">
      <c r="A910" s="5">
        <v>908</v>
      </c>
      <c r="B910" s="5">
        <f t="shared" ca="1" si="14"/>
        <v>0.51076574493838556</v>
      </c>
      <c r="C910" s="5" t="s">
        <v>22</v>
      </c>
    </row>
    <row r="911" spans="1:3" x14ac:dyDescent="0.2">
      <c r="A911" s="5">
        <v>909</v>
      </c>
      <c r="B911" s="5">
        <f t="shared" ca="1" si="14"/>
        <v>0.52921961048955479</v>
      </c>
      <c r="C911" s="5" t="s">
        <v>22</v>
      </c>
    </row>
    <row r="912" spans="1:3" x14ac:dyDescent="0.2">
      <c r="A912" s="5">
        <v>910</v>
      </c>
      <c r="B912" s="5">
        <f t="shared" ca="1" si="14"/>
        <v>0.73052498561102208</v>
      </c>
      <c r="C912" s="5" t="s">
        <v>21</v>
      </c>
    </row>
    <row r="913" spans="1:3" x14ac:dyDescent="0.2">
      <c r="A913" s="5">
        <v>911</v>
      </c>
      <c r="B913" s="5">
        <f t="shared" ca="1" si="14"/>
        <v>0.33453509283104832</v>
      </c>
      <c r="C913" s="5" t="s">
        <v>22</v>
      </c>
    </row>
    <row r="914" spans="1:3" x14ac:dyDescent="0.2">
      <c r="A914" s="5">
        <v>912</v>
      </c>
      <c r="B914" s="5">
        <f t="shared" ca="1" si="14"/>
        <v>0.56410769006927219</v>
      </c>
      <c r="C914" s="5" t="s">
        <v>22</v>
      </c>
    </row>
    <row r="915" spans="1:3" x14ac:dyDescent="0.2">
      <c r="A915" s="5">
        <v>913</v>
      </c>
      <c r="B915" s="5">
        <f t="shared" ca="1" si="14"/>
        <v>0.5585739498964637</v>
      </c>
      <c r="C915" s="5" t="s">
        <v>22</v>
      </c>
    </row>
    <row r="916" spans="1:3" x14ac:dyDescent="0.2">
      <c r="A916" s="5">
        <v>914</v>
      </c>
      <c r="B916" s="5">
        <f t="shared" ca="1" si="14"/>
        <v>0.58526259605038389</v>
      </c>
      <c r="C916" s="5" t="s">
        <v>21</v>
      </c>
    </row>
    <row r="917" spans="1:3" x14ac:dyDescent="0.2">
      <c r="A917" s="5">
        <v>915</v>
      </c>
      <c r="B917" s="5">
        <f t="shared" ca="1" si="14"/>
        <v>0.65041402037954787</v>
      </c>
      <c r="C917" s="5" t="s">
        <v>22</v>
      </c>
    </row>
    <row r="918" spans="1:3" x14ac:dyDescent="0.2">
      <c r="A918" s="5">
        <v>916</v>
      </c>
      <c r="B918" s="5">
        <f t="shared" ca="1" si="14"/>
        <v>0.59145790614241278</v>
      </c>
      <c r="C918" s="5" t="s">
        <v>21</v>
      </c>
    </row>
    <row r="919" spans="1:3" x14ac:dyDescent="0.2">
      <c r="A919" s="5">
        <v>917</v>
      </c>
      <c r="B919" s="5">
        <f t="shared" ca="1" si="14"/>
        <v>0.46810157375493316</v>
      </c>
      <c r="C919" s="5" t="s">
        <v>22</v>
      </c>
    </row>
    <row r="920" spans="1:3" x14ac:dyDescent="0.2">
      <c r="A920" s="5">
        <v>918</v>
      </c>
      <c r="B920" s="5">
        <f t="shared" ca="1" si="14"/>
        <v>0.60055153646396198</v>
      </c>
      <c r="C920" s="5" t="s">
        <v>21</v>
      </c>
    </row>
    <row r="921" spans="1:3" x14ac:dyDescent="0.2">
      <c r="A921" s="5">
        <v>919</v>
      </c>
      <c r="B921" s="5">
        <f t="shared" ca="1" si="14"/>
        <v>0.70025116460004888</v>
      </c>
      <c r="C921" s="5" t="s">
        <v>22</v>
      </c>
    </row>
    <row r="922" spans="1:3" x14ac:dyDescent="0.2">
      <c r="A922" s="5">
        <v>920</v>
      </c>
      <c r="B922" s="5">
        <f t="shared" ca="1" si="14"/>
        <v>0.67497860739089055</v>
      </c>
      <c r="C922" s="5" t="s">
        <v>21</v>
      </c>
    </row>
    <row r="923" spans="1:3" x14ac:dyDescent="0.2">
      <c r="A923" s="5">
        <v>921</v>
      </c>
      <c r="B923" s="5">
        <f t="shared" ca="1" si="14"/>
        <v>0.65368533247574578</v>
      </c>
      <c r="C923" s="5" t="s">
        <v>21</v>
      </c>
    </row>
    <row r="924" spans="1:3" x14ac:dyDescent="0.2">
      <c r="A924" s="5">
        <v>922</v>
      </c>
      <c r="B924" s="5">
        <f t="shared" ca="1" si="14"/>
        <v>0.73161061371130043</v>
      </c>
      <c r="C924" s="5" t="s">
        <v>22</v>
      </c>
    </row>
    <row r="925" spans="1:3" x14ac:dyDescent="0.2">
      <c r="A925" s="5">
        <v>923</v>
      </c>
      <c r="B925" s="5">
        <f t="shared" ca="1" si="14"/>
        <v>0.58258033376260843</v>
      </c>
      <c r="C925" s="5" t="s">
        <v>22</v>
      </c>
    </row>
    <row r="926" spans="1:3" x14ac:dyDescent="0.2">
      <c r="A926" s="5">
        <v>924</v>
      </c>
      <c r="B926" s="5">
        <f t="shared" ca="1" si="14"/>
        <v>0.58244881127311465</v>
      </c>
      <c r="C926" s="5" t="s">
        <v>22</v>
      </c>
    </row>
    <row r="927" spans="1:3" x14ac:dyDescent="0.2">
      <c r="A927" s="5">
        <v>925</v>
      </c>
      <c r="B927" s="5">
        <f t="shared" ca="1" si="14"/>
        <v>0.77285215360086812</v>
      </c>
      <c r="C927" s="5" t="s">
        <v>21</v>
      </c>
    </row>
    <row r="928" spans="1:3" x14ac:dyDescent="0.2">
      <c r="A928" s="5">
        <v>926</v>
      </c>
      <c r="B928" s="5">
        <f t="shared" ca="1" si="14"/>
        <v>0.90378443408409459</v>
      </c>
      <c r="C928" s="5" t="s">
        <v>21</v>
      </c>
    </row>
    <row r="929" spans="1:3" x14ac:dyDescent="0.2">
      <c r="A929" s="5">
        <v>927</v>
      </c>
      <c r="B929" s="5">
        <f t="shared" ca="1" si="14"/>
        <v>0.70145639559950179</v>
      </c>
      <c r="C929" s="5" t="s">
        <v>21</v>
      </c>
    </row>
    <row r="930" spans="1:3" x14ac:dyDescent="0.2">
      <c r="A930" s="5">
        <v>928</v>
      </c>
      <c r="B930" s="5">
        <f t="shared" ca="1" si="14"/>
        <v>0.5915294937846588</v>
      </c>
      <c r="C930" s="5" t="s">
        <v>21</v>
      </c>
    </row>
    <row r="931" spans="1:3" x14ac:dyDescent="0.2">
      <c r="A931" s="5">
        <v>929</v>
      </c>
      <c r="B931" s="5">
        <f t="shared" ca="1" si="14"/>
        <v>0.75101124552296339</v>
      </c>
      <c r="C931" s="5" t="s">
        <v>21</v>
      </c>
    </row>
    <row r="932" spans="1:3" x14ac:dyDescent="0.2">
      <c r="A932" s="5">
        <v>930</v>
      </c>
      <c r="B932" s="5">
        <f t="shared" ca="1" si="14"/>
        <v>0.76560198613223784</v>
      </c>
      <c r="C932" s="5" t="s">
        <v>21</v>
      </c>
    </row>
    <row r="933" spans="1:3" x14ac:dyDescent="0.2">
      <c r="A933" s="5">
        <v>931</v>
      </c>
      <c r="B933" s="5">
        <f t="shared" ca="1" si="14"/>
        <v>0.67381136446632095</v>
      </c>
      <c r="C933" s="5" t="s">
        <v>22</v>
      </c>
    </row>
    <row r="934" spans="1:3" x14ac:dyDescent="0.2">
      <c r="A934" s="5">
        <v>932</v>
      </c>
      <c r="B934" s="5">
        <f t="shared" ca="1" si="14"/>
        <v>0.7470046331743978</v>
      </c>
      <c r="C934" s="5" t="s">
        <v>21</v>
      </c>
    </row>
    <row r="935" spans="1:3" x14ac:dyDescent="0.2">
      <c r="A935" s="5">
        <v>933</v>
      </c>
      <c r="B935" s="5">
        <f t="shared" ca="1" si="14"/>
        <v>0.86305884649956077</v>
      </c>
      <c r="C935" s="5" t="s">
        <v>22</v>
      </c>
    </row>
    <row r="936" spans="1:3" x14ac:dyDescent="0.2">
      <c r="A936" s="5">
        <v>934</v>
      </c>
      <c r="B936" s="5">
        <f t="shared" ca="1" si="14"/>
        <v>0.67975241891799909</v>
      </c>
      <c r="C936" s="5" t="s">
        <v>21</v>
      </c>
    </row>
    <row r="937" spans="1:3" x14ac:dyDescent="0.2">
      <c r="A937" s="5">
        <v>935</v>
      </c>
      <c r="B937" s="5">
        <f t="shared" ca="1" si="14"/>
        <v>0.89008951163429095</v>
      </c>
      <c r="C937" s="5" t="s">
        <v>21</v>
      </c>
    </row>
    <row r="938" spans="1:3" x14ac:dyDescent="0.2">
      <c r="A938" s="5">
        <v>936</v>
      </c>
      <c r="B938" s="5">
        <f t="shared" ca="1" si="14"/>
        <v>0.39539395087350659</v>
      </c>
      <c r="C938" s="5" t="s">
        <v>22</v>
      </c>
    </row>
    <row r="939" spans="1:3" x14ac:dyDescent="0.2">
      <c r="A939" s="5">
        <v>937</v>
      </c>
      <c r="B939" s="5">
        <f t="shared" ca="1" si="14"/>
        <v>0.50992833224206036</v>
      </c>
      <c r="C939" s="5" t="s">
        <v>22</v>
      </c>
    </row>
    <row r="940" spans="1:3" x14ac:dyDescent="0.2">
      <c r="A940" s="5">
        <v>938</v>
      </c>
      <c r="B940" s="5">
        <f t="shared" ca="1" si="14"/>
        <v>0.81877827107539569</v>
      </c>
      <c r="C940" s="5" t="s">
        <v>21</v>
      </c>
    </row>
    <row r="941" spans="1:3" x14ac:dyDescent="0.2">
      <c r="A941" s="5">
        <v>939</v>
      </c>
      <c r="B941" s="5">
        <f t="shared" ca="1" si="14"/>
        <v>0.65970091107539519</v>
      </c>
      <c r="C941" s="5" t="s">
        <v>21</v>
      </c>
    </row>
    <row r="942" spans="1:3" x14ac:dyDescent="0.2">
      <c r="A942" s="5">
        <v>940</v>
      </c>
      <c r="B942" s="5">
        <f t="shared" ca="1" si="14"/>
        <v>0.37486257129964307</v>
      </c>
      <c r="C942" s="5" t="s">
        <v>22</v>
      </c>
    </row>
    <row r="943" spans="1:3" x14ac:dyDescent="0.2">
      <c r="A943" s="5">
        <v>941</v>
      </c>
      <c r="B943" s="5">
        <f t="shared" ca="1" si="14"/>
        <v>0.73085532093766825</v>
      </c>
      <c r="C943" s="5" t="s">
        <v>22</v>
      </c>
    </row>
    <row r="944" spans="1:3" x14ac:dyDescent="0.2">
      <c r="A944" s="5">
        <v>942</v>
      </c>
      <c r="B944" s="5">
        <f t="shared" ca="1" si="14"/>
        <v>0.66903220799171415</v>
      </c>
      <c r="C944" s="5" t="s">
        <v>22</v>
      </c>
    </row>
    <row r="945" spans="1:3" x14ac:dyDescent="0.2">
      <c r="A945" s="5">
        <v>943</v>
      </c>
      <c r="B945" s="5">
        <f t="shared" ca="1" si="14"/>
        <v>0.57112124932010877</v>
      </c>
      <c r="C945" s="5" t="s">
        <v>22</v>
      </c>
    </row>
    <row r="946" spans="1:3" x14ac:dyDescent="0.2">
      <c r="A946" s="5">
        <v>944</v>
      </c>
      <c r="B946" s="5">
        <f t="shared" ca="1" si="14"/>
        <v>0.60273030936865912</v>
      </c>
      <c r="C946" s="5" t="s">
        <v>22</v>
      </c>
    </row>
    <row r="947" spans="1:3" x14ac:dyDescent="0.2">
      <c r="A947" s="5">
        <v>945</v>
      </c>
      <c r="B947" s="5">
        <f t="shared" ca="1" si="14"/>
        <v>0.63368532811907707</v>
      </c>
      <c r="C947" s="5" t="s">
        <v>21</v>
      </c>
    </row>
    <row r="948" spans="1:3" x14ac:dyDescent="0.2">
      <c r="A948" s="5">
        <v>946</v>
      </c>
      <c r="B948" s="5">
        <f t="shared" ca="1" si="14"/>
        <v>0.6504381211083341</v>
      </c>
      <c r="C948" s="5" t="s">
        <v>22</v>
      </c>
    </row>
    <row r="949" spans="1:3" x14ac:dyDescent="0.2">
      <c r="A949" s="5">
        <v>947</v>
      </c>
      <c r="B949" s="5">
        <f t="shared" ca="1" si="14"/>
        <v>0.77839094033361544</v>
      </c>
      <c r="C949" s="5" t="s">
        <v>21</v>
      </c>
    </row>
    <row r="950" spans="1:3" x14ac:dyDescent="0.2">
      <c r="A950" s="5">
        <v>948</v>
      </c>
      <c r="B950" s="5">
        <f t="shared" ca="1" si="14"/>
        <v>0.71795429269077893</v>
      </c>
      <c r="C950" s="5" t="s">
        <v>22</v>
      </c>
    </row>
    <row r="951" spans="1:3" x14ac:dyDescent="0.2">
      <c r="A951" s="5">
        <v>949</v>
      </c>
      <c r="B951" s="5">
        <f t="shared" ca="1" si="14"/>
        <v>0.66463341066623371</v>
      </c>
      <c r="C951" s="5" t="s">
        <v>21</v>
      </c>
    </row>
    <row r="952" spans="1:3" x14ac:dyDescent="0.2">
      <c r="A952" s="5">
        <v>950</v>
      </c>
      <c r="B952" s="5">
        <f t="shared" ca="1" si="14"/>
        <v>0.56274360372209409</v>
      </c>
      <c r="C952" s="5" t="s">
        <v>21</v>
      </c>
    </row>
    <row r="953" spans="1:3" x14ac:dyDescent="0.2">
      <c r="A953" s="5">
        <v>951</v>
      </c>
      <c r="B953" s="5">
        <f t="shared" ca="1" si="14"/>
        <v>0.50902247994413208</v>
      </c>
      <c r="C953" s="5" t="s">
        <v>22</v>
      </c>
    </row>
    <row r="954" spans="1:3" x14ac:dyDescent="0.2">
      <c r="A954" s="5">
        <v>952</v>
      </c>
      <c r="B954" s="5">
        <f t="shared" ca="1" si="14"/>
        <v>0.48216236935798668</v>
      </c>
      <c r="C954" s="5" t="s">
        <v>22</v>
      </c>
    </row>
    <row r="955" spans="1:3" x14ac:dyDescent="0.2">
      <c r="A955" s="5">
        <v>953</v>
      </c>
      <c r="B955" s="5">
        <f t="shared" ca="1" si="14"/>
        <v>0.57466765008873977</v>
      </c>
      <c r="C955" s="5" t="s">
        <v>21</v>
      </c>
    </row>
    <row r="956" spans="1:3" x14ac:dyDescent="0.2">
      <c r="A956" s="5">
        <v>954</v>
      </c>
      <c r="B956" s="5">
        <f t="shared" ca="1" si="14"/>
        <v>0.80663427087702155</v>
      </c>
      <c r="C956" s="5" t="s">
        <v>22</v>
      </c>
    </row>
    <row r="957" spans="1:3" x14ac:dyDescent="0.2">
      <c r="A957" s="5">
        <v>955</v>
      </c>
      <c r="B957" s="5">
        <f t="shared" ca="1" si="14"/>
        <v>0.73329133693538262</v>
      </c>
      <c r="C957" s="5" t="s">
        <v>21</v>
      </c>
    </row>
    <row r="958" spans="1:3" x14ac:dyDescent="0.2">
      <c r="A958" s="5">
        <v>956</v>
      </c>
      <c r="B958" s="5">
        <f t="shared" ca="1" si="14"/>
        <v>0.78346089285637932</v>
      </c>
      <c r="C958" s="5" t="s">
        <v>21</v>
      </c>
    </row>
    <row r="959" spans="1:3" x14ac:dyDescent="0.2">
      <c r="A959" s="5">
        <v>957</v>
      </c>
      <c r="B959" s="5">
        <f t="shared" ca="1" si="14"/>
        <v>0.58903122473463543</v>
      </c>
      <c r="C959" s="5" t="s">
        <v>22</v>
      </c>
    </row>
    <row r="960" spans="1:3" x14ac:dyDescent="0.2">
      <c r="A960" s="5">
        <v>958</v>
      </c>
      <c r="B960" s="5">
        <f t="shared" ca="1" si="14"/>
        <v>0.82208212300680039</v>
      </c>
      <c r="C960" s="5" t="s">
        <v>21</v>
      </c>
    </row>
    <row r="961" spans="1:3" x14ac:dyDescent="0.2">
      <c r="A961" s="5">
        <v>959</v>
      </c>
      <c r="B961" s="5">
        <f t="shared" ca="1" si="14"/>
        <v>0.38518952543873697</v>
      </c>
      <c r="C961" s="5" t="s">
        <v>22</v>
      </c>
    </row>
    <row r="962" spans="1:3" x14ac:dyDescent="0.2">
      <c r="A962" s="5">
        <v>960</v>
      </c>
      <c r="B962" s="5">
        <f t="shared" ca="1" si="14"/>
        <v>0.75713055103793381</v>
      </c>
      <c r="C962" s="5" t="s">
        <v>22</v>
      </c>
    </row>
    <row r="963" spans="1:3" x14ac:dyDescent="0.2">
      <c r="A963" s="5">
        <v>961</v>
      </c>
      <c r="B963" s="5">
        <f t="shared" ca="1" si="14"/>
        <v>0.61081803431575787</v>
      </c>
      <c r="C963" s="5" t="s">
        <v>21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0.75100320200753135</v>
      </c>
      <c r="C964" s="5" t="s">
        <v>21</v>
      </c>
    </row>
    <row r="965" spans="1:3" x14ac:dyDescent="0.2">
      <c r="A965" s="5">
        <v>963</v>
      </c>
      <c r="B965" s="5">
        <f t="shared" ca="1" si="15"/>
        <v>0.78357357489281543</v>
      </c>
      <c r="C965" s="5" t="s">
        <v>21</v>
      </c>
    </row>
    <row r="966" spans="1:3" x14ac:dyDescent="0.2">
      <c r="A966" s="5">
        <v>964</v>
      </c>
      <c r="B966" s="5">
        <f t="shared" ca="1" si="15"/>
        <v>0.60460392756905668</v>
      </c>
      <c r="C966" s="5" t="s">
        <v>21</v>
      </c>
    </row>
    <row r="967" spans="1:3" x14ac:dyDescent="0.2">
      <c r="A967" s="5">
        <v>965</v>
      </c>
      <c r="B967" s="5">
        <f t="shared" ca="1" si="15"/>
        <v>0.6367077163017002</v>
      </c>
      <c r="C967" s="5" t="s">
        <v>21</v>
      </c>
    </row>
    <row r="968" spans="1:3" x14ac:dyDescent="0.2">
      <c r="A968" s="5">
        <v>966</v>
      </c>
      <c r="B968" s="5">
        <f t="shared" ca="1" si="15"/>
        <v>0.80327682150307267</v>
      </c>
      <c r="C968" s="5" t="s">
        <v>21</v>
      </c>
    </row>
    <row r="969" spans="1:3" x14ac:dyDescent="0.2">
      <c r="A969" s="5">
        <v>967</v>
      </c>
      <c r="B969" s="5">
        <f t="shared" ca="1" si="15"/>
        <v>0.82192455754855864</v>
      </c>
      <c r="C969" s="5" t="s">
        <v>21</v>
      </c>
    </row>
    <row r="970" spans="1:3" x14ac:dyDescent="0.2">
      <c r="A970" s="5">
        <v>968</v>
      </c>
      <c r="B970" s="5">
        <f t="shared" ca="1" si="15"/>
        <v>0.91631822038377708</v>
      </c>
      <c r="C970" s="5" t="s">
        <v>21</v>
      </c>
    </row>
    <row r="971" spans="1:3" x14ac:dyDescent="0.2">
      <c r="A971" s="5">
        <v>969</v>
      </c>
      <c r="B971" s="5">
        <f t="shared" ca="1" si="15"/>
        <v>0.42844242906248853</v>
      </c>
      <c r="C971" s="5" t="s">
        <v>22</v>
      </c>
    </row>
    <row r="972" spans="1:3" x14ac:dyDescent="0.2">
      <c r="A972" s="5">
        <v>970</v>
      </c>
      <c r="B972" s="5">
        <f t="shared" ca="1" si="15"/>
        <v>0.63667990693630616</v>
      </c>
      <c r="C972" s="5" t="s">
        <v>22</v>
      </c>
    </row>
    <row r="973" spans="1:3" x14ac:dyDescent="0.2">
      <c r="A973" s="5">
        <v>971</v>
      </c>
      <c r="B973" s="5">
        <f t="shared" ca="1" si="15"/>
        <v>0.60057721833070765</v>
      </c>
      <c r="C973" s="5" t="s">
        <v>21</v>
      </c>
    </row>
    <row r="974" spans="1:3" x14ac:dyDescent="0.2">
      <c r="A974" s="5">
        <v>972</v>
      </c>
      <c r="B974" s="5">
        <f t="shared" ca="1" si="15"/>
        <v>0.71453791646821618</v>
      </c>
      <c r="C974" s="5" t="s">
        <v>22</v>
      </c>
    </row>
    <row r="975" spans="1:3" x14ac:dyDescent="0.2">
      <c r="A975" s="5">
        <v>973</v>
      </c>
      <c r="B975" s="5">
        <f t="shared" ca="1" si="15"/>
        <v>0.74907376698345729</v>
      </c>
      <c r="C975" s="5" t="s">
        <v>21</v>
      </c>
    </row>
    <row r="976" spans="1:3" x14ac:dyDescent="0.2">
      <c r="A976" s="5">
        <v>974</v>
      </c>
      <c r="B976" s="5">
        <f t="shared" ca="1" si="15"/>
        <v>0.5485253765335123</v>
      </c>
      <c r="C976" s="5" t="s">
        <v>21</v>
      </c>
    </row>
    <row r="977" spans="1:3" x14ac:dyDescent="0.2">
      <c r="A977" s="5">
        <v>975</v>
      </c>
      <c r="B977" s="5">
        <f t="shared" ca="1" si="15"/>
        <v>0.77487594146208927</v>
      </c>
      <c r="C977" s="5" t="s">
        <v>21</v>
      </c>
    </row>
    <row r="978" spans="1:3" x14ac:dyDescent="0.2">
      <c r="A978" s="5">
        <v>976</v>
      </c>
      <c r="B978" s="5">
        <f t="shared" ca="1" si="15"/>
        <v>0.63560540603210602</v>
      </c>
      <c r="C978" s="5" t="s">
        <v>21</v>
      </c>
    </row>
    <row r="979" spans="1:3" x14ac:dyDescent="0.2">
      <c r="A979" s="5">
        <v>977</v>
      </c>
      <c r="B979" s="5">
        <f t="shared" ca="1" si="15"/>
        <v>0.95091346501606333</v>
      </c>
      <c r="C979" s="5" t="s">
        <v>21</v>
      </c>
    </row>
    <row r="980" spans="1:3" x14ac:dyDescent="0.2">
      <c r="A980" s="5">
        <v>978</v>
      </c>
      <c r="B980" s="5">
        <f t="shared" ca="1" si="15"/>
        <v>0.54054885944394715</v>
      </c>
      <c r="C980" s="5" t="s">
        <v>21</v>
      </c>
    </row>
    <row r="981" spans="1:3" x14ac:dyDescent="0.2">
      <c r="A981" s="5">
        <v>979</v>
      </c>
      <c r="B981" s="5">
        <f t="shared" ca="1" si="15"/>
        <v>0.83186805587398727</v>
      </c>
      <c r="C981" s="5" t="s">
        <v>21</v>
      </c>
    </row>
    <row r="982" spans="1:3" x14ac:dyDescent="0.2">
      <c r="A982" s="5">
        <v>980</v>
      </c>
      <c r="B982" s="5">
        <f t="shared" ca="1" si="15"/>
        <v>0.51069104177823021</v>
      </c>
      <c r="C982" s="5" t="s">
        <v>22</v>
      </c>
    </row>
    <row r="983" spans="1:3" x14ac:dyDescent="0.2">
      <c r="A983" s="5">
        <v>981</v>
      </c>
      <c r="B983" s="5">
        <f t="shared" ca="1" si="15"/>
        <v>0.75645576252172231</v>
      </c>
      <c r="C983" s="5" t="s">
        <v>22</v>
      </c>
    </row>
    <row r="984" spans="1:3" x14ac:dyDescent="0.2">
      <c r="A984" s="5">
        <v>982</v>
      </c>
      <c r="B984" s="5">
        <f t="shared" ca="1" si="15"/>
        <v>0.65833309499524695</v>
      </c>
      <c r="C984" s="5" t="s">
        <v>21</v>
      </c>
    </row>
    <row r="985" spans="1:3" x14ac:dyDescent="0.2">
      <c r="A985" s="5">
        <v>983</v>
      </c>
      <c r="B985" s="5">
        <f t="shared" ca="1" si="15"/>
        <v>0.7228360891742962</v>
      </c>
      <c r="C985" s="5" t="s">
        <v>21</v>
      </c>
    </row>
    <row r="986" spans="1:3" x14ac:dyDescent="0.2">
      <c r="A986" s="5">
        <v>984</v>
      </c>
      <c r="B986" s="5">
        <f t="shared" ca="1" si="15"/>
        <v>0.44247558522966457</v>
      </c>
      <c r="C986" s="5" t="s">
        <v>22</v>
      </c>
    </row>
    <row r="987" spans="1:3" x14ac:dyDescent="0.2">
      <c r="A987" s="5">
        <v>985</v>
      </c>
      <c r="B987" s="5">
        <f t="shared" ca="1" si="15"/>
        <v>0.62678935206743869</v>
      </c>
      <c r="C987" s="5" t="s">
        <v>22</v>
      </c>
    </row>
    <row r="988" spans="1:3" x14ac:dyDescent="0.2">
      <c r="A988" s="5">
        <v>986</v>
      </c>
      <c r="B988" s="5">
        <f t="shared" ca="1" si="15"/>
        <v>0.6141308315618601</v>
      </c>
      <c r="C988" s="5" t="s">
        <v>21</v>
      </c>
    </row>
    <row r="989" spans="1:3" x14ac:dyDescent="0.2">
      <c r="A989" s="5">
        <v>987</v>
      </c>
      <c r="B989" s="5">
        <f t="shared" ca="1" si="15"/>
        <v>0.64868531568970111</v>
      </c>
      <c r="C989" s="5" t="s">
        <v>22</v>
      </c>
    </row>
    <row r="990" spans="1:3" x14ac:dyDescent="0.2">
      <c r="A990" s="5">
        <v>988</v>
      </c>
      <c r="B990" s="5">
        <f t="shared" ca="1" si="15"/>
        <v>0.68457205741354565</v>
      </c>
      <c r="C990" s="5" t="s">
        <v>22</v>
      </c>
    </row>
    <row r="991" spans="1:3" x14ac:dyDescent="0.2">
      <c r="A991" s="5">
        <v>989</v>
      </c>
      <c r="B991" s="5">
        <f t="shared" ca="1" si="15"/>
        <v>0.63493567448793009</v>
      </c>
      <c r="C991" s="5" t="s">
        <v>21</v>
      </c>
    </row>
    <row r="992" spans="1:3" x14ac:dyDescent="0.2">
      <c r="A992" s="5">
        <v>990</v>
      </c>
      <c r="B992" s="5">
        <f t="shared" ca="1" si="15"/>
        <v>0.52995464045880536</v>
      </c>
      <c r="C992" s="5" t="s">
        <v>22</v>
      </c>
    </row>
    <row r="993" spans="1:3" x14ac:dyDescent="0.2">
      <c r="A993" s="5">
        <v>991</v>
      </c>
      <c r="B993" s="5">
        <f t="shared" ca="1" si="15"/>
        <v>0.61658391032340654</v>
      </c>
      <c r="C993" s="5" t="s">
        <v>21</v>
      </c>
    </row>
    <row r="994" spans="1:3" x14ac:dyDescent="0.2">
      <c r="A994" s="5">
        <v>992</v>
      </c>
      <c r="B994" s="5">
        <f t="shared" ca="1" si="15"/>
        <v>0.61314184637683256</v>
      </c>
      <c r="C994" s="5" t="s">
        <v>22</v>
      </c>
    </row>
    <row r="995" spans="1:3" x14ac:dyDescent="0.2">
      <c r="A995" s="5">
        <v>993</v>
      </c>
      <c r="B995" s="5">
        <f t="shared" ca="1" si="15"/>
        <v>0.70125921980532502</v>
      </c>
      <c r="C995" s="5" t="s">
        <v>21</v>
      </c>
    </row>
    <row r="996" spans="1:3" x14ac:dyDescent="0.2">
      <c r="A996" s="5">
        <v>994</v>
      </c>
      <c r="B996" s="5">
        <f t="shared" ca="1" si="15"/>
        <v>0.85631552744251849</v>
      </c>
      <c r="C996" s="5" t="s">
        <v>21</v>
      </c>
    </row>
    <row r="997" spans="1:3" x14ac:dyDescent="0.2">
      <c r="A997" s="5">
        <v>995</v>
      </c>
      <c r="B997" s="5">
        <f t="shared" ca="1" si="15"/>
        <v>0.45510626604372928</v>
      </c>
      <c r="C997" s="5" t="s">
        <v>22</v>
      </c>
    </row>
    <row r="998" spans="1:3" x14ac:dyDescent="0.2">
      <c r="A998" s="5">
        <v>996</v>
      </c>
      <c r="B998" s="5">
        <f t="shared" ca="1" si="15"/>
        <v>0.82086042148631233</v>
      </c>
      <c r="C998" s="5" t="s">
        <v>21</v>
      </c>
    </row>
    <row r="999" spans="1:3" x14ac:dyDescent="0.2">
      <c r="A999" s="5">
        <v>997</v>
      </c>
      <c r="B999" s="5">
        <f t="shared" ca="1" si="15"/>
        <v>0.48619366799019736</v>
      </c>
      <c r="C999" s="5" t="s">
        <v>22</v>
      </c>
    </row>
    <row r="1000" spans="1:3" x14ac:dyDescent="0.2">
      <c r="A1000" s="5">
        <v>998</v>
      </c>
      <c r="B1000" s="5">
        <f t="shared" ca="1" si="15"/>
        <v>0.36601308603979271</v>
      </c>
      <c r="C1000" s="5" t="s">
        <v>22</v>
      </c>
    </row>
    <row r="1001" spans="1:3" x14ac:dyDescent="0.2">
      <c r="A1001" s="5">
        <v>999</v>
      </c>
      <c r="B1001" s="5">
        <f t="shared" ca="1" si="15"/>
        <v>0.51921503263748892</v>
      </c>
      <c r="C1001" s="5" t="s">
        <v>22</v>
      </c>
    </row>
    <row r="1002" spans="1:3" x14ac:dyDescent="0.2">
      <c r="A1002" s="5">
        <v>1000</v>
      </c>
      <c r="B1002" s="5">
        <f t="shared" ca="1" si="15"/>
        <v>0.35787042206811737</v>
      </c>
      <c r="C1002" s="5" t="s">
        <v>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C00000"/>
  </sheetPr>
  <dimension ref="B2:N17"/>
  <sheetViews>
    <sheetView workbookViewId="0"/>
  </sheetViews>
  <sheetFormatPr baseColWidth="10" defaultRowHeight="26" x14ac:dyDescent="0.3"/>
  <cols>
    <col min="1" max="16384" width="10.83203125" style="26"/>
  </cols>
  <sheetData>
    <row r="2" spans="2:14" ht="27" thickBot="1" x14ac:dyDescent="0.35"/>
    <row r="3" spans="2:14" x14ac:dyDescent="0.3">
      <c r="E3" s="32"/>
      <c r="F3" s="33"/>
      <c r="G3" s="33"/>
      <c r="H3" s="33"/>
      <c r="I3" s="34"/>
      <c r="J3" s="32"/>
      <c r="K3" s="33"/>
      <c r="L3" s="33"/>
      <c r="M3" s="33"/>
      <c r="N3" s="34"/>
    </row>
    <row r="4" spans="2:14" x14ac:dyDescent="0.3">
      <c r="E4" s="35"/>
      <c r="F4" s="36"/>
      <c r="G4" s="36"/>
      <c r="H4" s="36"/>
      <c r="I4" s="37"/>
      <c r="J4" s="35"/>
      <c r="K4" s="36"/>
      <c r="L4" s="36"/>
      <c r="M4" s="36"/>
      <c r="N4" s="37"/>
    </row>
    <row r="5" spans="2:14" x14ac:dyDescent="0.3">
      <c r="E5" s="35"/>
      <c r="F5" s="36"/>
      <c r="G5" s="36" t="s">
        <v>101</v>
      </c>
      <c r="H5" s="36"/>
      <c r="I5" s="37"/>
      <c r="J5" s="35"/>
      <c r="K5" s="36"/>
      <c r="L5" s="36" t="s">
        <v>104</v>
      </c>
      <c r="M5" s="36"/>
      <c r="N5" s="37"/>
    </row>
    <row r="6" spans="2:14" x14ac:dyDescent="0.3">
      <c r="E6" s="35"/>
      <c r="F6" s="36"/>
      <c r="G6" s="36"/>
      <c r="H6" s="36"/>
      <c r="I6" s="37"/>
      <c r="J6" s="35"/>
      <c r="K6" s="36"/>
      <c r="L6" s="36"/>
      <c r="M6" s="36"/>
      <c r="N6" s="37"/>
    </row>
    <row r="7" spans="2:14" x14ac:dyDescent="0.3">
      <c r="E7" s="35"/>
      <c r="F7" s="36"/>
      <c r="G7" s="36"/>
      <c r="H7" s="36"/>
      <c r="I7" s="37"/>
      <c r="J7" s="35"/>
      <c r="K7" s="36"/>
      <c r="L7" s="36"/>
      <c r="M7" s="36"/>
      <c r="N7" s="37"/>
    </row>
    <row r="8" spans="2:14" ht="27" thickBot="1" x14ac:dyDescent="0.35">
      <c r="B8" s="26" t="s">
        <v>5</v>
      </c>
      <c r="E8" s="38"/>
      <c r="F8" s="39"/>
      <c r="G8" s="39"/>
      <c r="H8" s="39"/>
      <c r="I8" s="40"/>
      <c r="J8" s="38"/>
      <c r="K8" s="39"/>
      <c r="L8" s="39"/>
      <c r="M8" s="39"/>
      <c r="N8" s="40"/>
    </row>
    <row r="9" spans="2:14" x14ac:dyDescent="0.3">
      <c r="E9" s="32"/>
      <c r="F9" s="33"/>
      <c r="G9" s="33"/>
      <c r="H9" s="33"/>
      <c r="I9" s="34"/>
      <c r="J9" s="32"/>
      <c r="K9" s="33"/>
      <c r="L9" s="33"/>
      <c r="M9" s="33"/>
      <c r="N9" s="34"/>
    </row>
    <row r="10" spans="2:14" x14ac:dyDescent="0.3">
      <c r="E10" s="35"/>
      <c r="F10" s="36"/>
      <c r="G10" s="36"/>
      <c r="H10" s="36"/>
      <c r="I10" s="37"/>
      <c r="J10" s="35"/>
      <c r="K10" s="36"/>
      <c r="L10" s="36"/>
      <c r="M10" s="36"/>
      <c r="N10" s="37"/>
    </row>
    <row r="11" spans="2:14" x14ac:dyDescent="0.3">
      <c r="E11" s="35"/>
      <c r="F11" s="36"/>
      <c r="G11" s="36" t="s">
        <v>114</v>
      </c>
      <c r="H11" s="36"/>
      <c r="I11" s="37"/>
      <c r="J11" s="35"/>
      <c r="K11" s="36"/>
      <c r="L11" s="36" t="s">
        <v>113</v>
      </c>
      <c r="M11" s="36"/>
      <c r="N11" s="37"/>
    </row>
    <row r="12" spans="2:14" x14ac:dyDescent="0.3">
      <c r="E12" s="35"/>
      <c r="F12" s="36"/>
      <c r="G12" s="36"/>
      <c r="H12" s="36"/>
      <c r="I12" s="37"/>
      <c r="J12" s="35"/>
      <c r="K12" s="36"/>
      <c r="L12" s="36"/>
      <c r="M12" s="36"/>
      <c r="N12" s="37"/>
    </row>
    <row r="13" spans="2:14" x14ac:dyDescent="0.3">
      <c r="E13" s="35"/>
      <c r="F13" s="36"/>
      <c r="G13" s="36"/>
      <c r="H13" s="36"/>
      <c r="I13" s="37"/>
      <c r="J13" s="35"/>
      <c r="K13" s="36"/>
      <c r="L13" s="36"/>
      <c r="M13" s="36"/>
      <c r="N13" s="37"/>
    </row>
    <row r="14" spans="2:14" ht="27" thickBot="1" x14ac:dyDescent="0.35">
      <c r="E14" s="38"/>
      <c r="F14" s="39"/>
      <c r="G14" s="39"/>
      <c r="H14" s="39"/>
      <c r="I14" s="40"/>
      <c r="J14" s="38"/>
      <c r="K14" s="39"/>
      <c r="L14" s="39"/>
      <c r="M14" s="39"/>
      <c r="N14" s="40"/>
    </row>
    <row r="17" spans="9:9" x14ac:dyDescent="0.3">
      <c r="I17" s="26" t="s">
        <v>115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23</v>
      </c>
      <c r="C2" s="5" t="s">
        <v>5</v>
      </c>
      <c r="J2" s="8" t="s">
        <v>27</v>
      </c>
      <c r="K2" s="8" t="s">
        <v>24</v>
      </c>
    </row>
    <row r="3" spans="1:11" x14ac:dyDescent="0.2">
      <c r="A3" s="5">
        <v>1</v>
      </c>
      <c r="B3" s="5">
        <f ca="1">IF(C3="Bomb",_xlfn.NORM.INV(RAND(),0.7,0.1),_xlfn.NORM.INV(RAND(),0.6,0.15))</f>
        <v>0.7714455142486244</v>
      </c>
      <c r="C3" s="5" t="str">
        <f ca="1">IF(RAND()&lt;0.5,"Bomb","Bird")</f>
        <v>Bomb</v>
      </c>
      <c r="E3" s="5" t="s">
        <v>25</v>
      </c>
      <c r="I3" s="18"/>
      <c r="J3" s="19">
        <f ca="1">F10</f>
        <v>1</v>
      </c>
      <c r="K3" s="19">
        <f ca="1">E10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0.75303212457156754</v>
      </c>
      <c r="C4" s="5" t="s">
        <v>21</v>
      </c>
      <c r="E4" s="7">
        <v>0</v>
      </c>
      <c r="I4" s="19">
        <v>0.03</v>
      </c>
      <c r="J4" s="20">
        <f t="dataTable" ref="J4:K36" dt2D="0" dtr="0" r1="E4" ca="1"/>
        <v>1</v>
      </c>
      <c r="K4" s="20">
        <v>1</v>
      </c>
    </row>
    <row r="5" spans="1:11" x14ac:dyDescent="0.2">
      <c r="A5" s="5">
        <v>3</v>
      </c>
      <c r="B5" s="5">
        <f t="shared" ca="1" si="0"/>
        <v>0.5316266214319989</v>
      </c>
      <c r="C5" s="5" t="s">
        <v>22</v>
      </c>
      <c r="I5" s="19">
        <v>0.06</v>
      </c>
      <c r="J5" s="20">
        <v>1</v>
      </c>
      <c r="K5" s="20">
        <v>1</v>
      </c>
    </row>
    <row r="6" spans="1:11" x14ac:dyDescent="0.2">
      <c r="A6" s="5">
        <v>4</v>
      </c>
      <c r="B6" s="5">
        <f t="shared" ca="1" si="0"/>
        <v>0.72863992329396565</v>
      </c>
      <c r="C6" s="5" t="s">
        <v>21</v>
      </c>
      <c r="E6" s="8" t="s">
        <v>24</v>
      </c>
      <c r="F6" s="8" t="s">
        <v>26</v>
      </c>
      <c r="I6" s="19">
        <v>0.09</v>
      </c>
      <c r="J6" s="20">
        <v>1</v>
      </c>
      <c r="K6" s="20">
        <v>1</v>
      </c>
    </row>
    <row r="7" spans="1:11" x14ac:dyDescent="0.2">
      <c r="A7" s="5">
        <v>5</v>
      </c>
      <c r="B7" s="5">
        <f t="shared" ca="1" si="0"/>
        <v>0.46562569674519794</v>
      </c>
      <c r="C7" s="5" t="s">
        <v>21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19">
        <v>0.12</v>
      </c>
      <c r="J7" s="20">
        <v>0.99805447470817121</v>
      </c>
      <c r="K7" s="20">
        <v>1</v>
      </c>
    </row>
    <row r="8" spans="1:11" x14ac:dyDescent="0.2">
      <c r="A8" s="5">
        <v>6</v>
      </c>
      <c r="B8" s="5">
        <f t="shared" ca="1" si="0"/>
        <v>0.6534589906174546</v>
      </c>
      <c r="C8" s="5" t="s">
        <v>21</v>
      </c>
      <c r="I8" s="19">
        <v>0.15</v>
      </c>
      <c r="J8" s="20">
        <v>0.99610136452241715</v>
      </c>
      <c r="K8" s="20">
        <v>1</v>
      </c>
    </row>
    <row r="9" spans="1:11" x14ac:dyDescent="0.2">
      <c r="A9" s="5">
        <v>7</v>
      </c>
      <c r="B9" s="5">
        <f t="shared" ca="1" si="0"/>
        <v>0.77607414393155427</v>
      </c>
      <c r="C9" s="5" t="s">
        <v>21</v>
      </c>
      <c r="E9" s="8" t="s">
        <v>24</v>
      </c>
      <c r="F9" s="8" t="s">
        <v>27</v>
      </c>
      <c r="I9" s="19">
        <v>0.18</v>
      </c>
      <c r="J9" s="20">
        <v>0.99805068226120852</v>
      </c>
      <c r="K9" s="20">
        <v>1</v>
      </c>
    </row>
    <row r="10" spans="1:11" x14ac:dyDescent="0.2">
      <c r="A10" s="5">
        <v>8</v>
      </c>
      <c r="B10" s="5">
        <f t="shared" ca="1" si="0"/>
        <v>0.65515336491174581</v>
      </c>
      <c r="C10" s="5" t="s">
        <v>22</v>
      </c>
      <c r="E10" s="7">
        <f ca="1">E7</f>
        <v>1</v>
      </c>
      <c r="F10" s="7">
        <f ca="1">1-F7</f>
        <v>1</v>
      </c>
      <c r="I10" s="19">
        <v>0.21</v>
      </c>
      <c r="J10" s="20">
        <v>0.99415204678362579</v>
      </c>
      <c r="K10" s="20">
        <v>1</v>
      </c>
    </row>
    <row r="11" spans="1:11" x14ac:dyDescent="0.2">
      <c r="A11" s="5">
        <v>9</v>
      </c>
      <c r="B11" s="5">
        <f t="shared" ca="1" si="0"/>
        <v>0.72064102373513483</v>
      </c>
      <c r="C11" s="5" t="s">
        <v>22</v>
      </c>
      <c r="I11" s="19">
        <v>0.24</v>
      </c>
      <c r="J11" s="20">
        <v>0.99415204678362579</v>
      </c>
      <c r="K11" s="20">
        <v>1</v>
      </c>
    </row>
    <row r="12" spans="1:11" x14ac:dyDescent="0.2">
      <c r="A12" s="5">
        <v>10</v>
      </c>
      <c r="B12" s="5">
        <f t="shared" ca="1" si="0"/>
        <v>0.68387610054492853</v>
      </c>
      <c r="C12" s="5" t="s">
        <v>22</v>
      </c>
      <c r="I12" s="19">
        <v>0.27</v>
      </c>
      <c r="J12" s="20">
        <v>0.98830409356725146</v>
      </c>
      <c r="K12" s="20">
        <v>1</v>
      </c>
    </row>
    <row r="13" spans="1:11" x14ac:dyDescent="0.2">
      <c r="A13" s="5">
        <v>11</v>
      </c>
      <c r="B13" s="5">
        <f t="shared" ca="1" si="0"/>
        <v>0.5923656582918595</v>
      </c>
      <c r="C13" s="5" t="s">
        <v>22</v>
      </c>
      <c r="I13" s="19">
        <v>0.3</v>
      </c>
      <c r="J13" s="20">
        <v>0.99025341130604283</v>
      </c>
      <c r="K13" s="20">
        <v>0.99794661190965095</v>
      </c>
    </row>
    <row r="14" spans="1:11" x14ac:dyDescent="0.2">
      <c r="A14" s="5">
        <v>12</v>
      </c>
      <c r="B14" s="5">
        <f t="shared" ca="1" si="0"/>
        <v>0.31540402515511573</v>
      </c>
      <c r="C14" s="5" t="s">
        <v>22</v>
      </c>
      <c r="I14" s="19">
        <v>0.33</v>
      </c>
      <c r="J14" s="20">
        <v>0.95719844357976658</v>
      </c>
      <c r="K14" s="20">
        <v>1</v>
      </c>
    </row>
    <row r="15" spans="1:11" x14ac:dyDescent="0.2">
      <c r="A15" s="5">
        <v>13</v>
      </c>
      <c r="B15" s="5">
        <f t="shared" ca="1" si="0"/>
        <v>0.78430591614485068</v>
      </c>
      <c r="C15" s="5" t="s">
        <v>21</v>
      </c>
      <c r="I15" s="19">
        <v>0.36</v>
      </c>
      <c r="J15" s="20">
        <v>0.949317738791423</v>
      </c>
      <c r="K15" s="20">
        <v>1</v>
      </c>
    </row>
    <row r="16" spans="1:11" x14ac:dyDescent="0.2">
      <c r="A16" s="5">
        <v>14</v>
      </c>
      <c r="B16" s="5">
        <f t="shared" ca="1" si="0"/>
        <v>0.78021491763196171</v>
      </c>
      <c r="C16" s="5" t="s">
        <v>21</v>
      </c>
      <c r="I16" s="19">
        <v>0.39</v>
      </c>
      <c r="J16" s="20">
        <v>0.91228070175438591</v>
      </c>
      <c r="K16" s="20">
        <v>1</v>
      </c>
    </row>
    <row r="17" spans="1:11" x14ac:dyDescent="0.2">
      <c r="A17" s="5">
        <v>15</v>
      </c>
      <c r="B17" s="5">
        <f t="shared" ca="1" si="0"/>
        <v>0.74308308886276264</v>
      </c>
      <c r="C17" s="5" t="s">
        <v>21</v>
      </c>
      <c r="I17" s="19">
        <v>0.42</v>
      </c>
      <c r="J17" s="20">
        <v>0.8927875243664718</v>
      </c>
      <c r="K17" s="20">
        <v>0.99794661190965095</v>
      </c>
    </row>
    <row r="18" spans="1:11" x14ac:dyDescent="0.2">
      <c r="A18" s="5">
        <v>16</v>
      </c>
      <c r="B18" s="5">
        <f t="shared" ca="1" si="0"/>
        <v>0.71795226353982056</v>
      </c>
      <c r="C18" s="5" t="s">
        <v>22</v>
      </c>
      <c r="I18" s="19">
        <v>0.45</v>
      </c>
      <c r="J18" s="20">
        <v>0.83073929961089488</v>
      </c>
      <c r="K18" s="20">
        <v>1</v>
      </c>
    </row>
    <row r="19" spans="1:11" x14ac:dyDescent="0.2">
      <c r="A19" s="5">
        <v>17</v>
      </c>
      <c r="B19" s="5">
        <f t="shared" ca="1" si="0"/>
        <v>0.83726379855474664</v>
      </c>
      <c r="C19" s="5" t="s">
        <v>21</v>
      </c>
      <c r="I19" s="19">
        <v>0.48</v>
      </c>
      <c r="J19" s="20">
        <v>0.7992202729044835</v>
      </c>
      <c r="K19" s="20">
        <v>0.98767967145790558</v>
      </c>
    </row>
    <row r="20" spans="1:11" x14ac:dyDescent="0.2">
      <c r="A20" s="5">
        <v>18</v>
      </c>
      <c r="B20" s="5">
        <f t="shared" ca="1" si="0"/>
        <v>0.51347149149454718</v>
      </c>
      <c r="C20" s="5" t="s">
        <v>22</v>
      </c>
      <c r="I20" s="19">
        <v>0.51</v>
      </c>
      <c r="J20" s="20">
        <v>0.69844357976653693</v>
      </c>
      <c r="K20" s="20">
        <v>0.98559670781893005</v>
      </c>
    </row>
    <row r="21" spans="1:11" x14ac:dyDescent="0.2">
      <c r="A21" s="5">
        <v>19</v>
      </c>
      <c r="B21" s="5">
        <f t="shared" ca="1" si="0"/>
        <v>0.71878764840703413</v>
      </c>
      <c r="C21" s="5" t="s">
        <v>21</v>
      </c>
      <c r="I21" s="19">
        <v>0.54</v>
      </c>
      <c r="J21" s="20">
        <v>0.60505836575875493</v>
      </c>
      <c r="K21" s="20">
        <v>0.94855967078189296</v>
      </c>
    </row>
    <row r="22" spans="1:11" x14ac:dyDescent="0.2">
      <c r="A22" s="5">
        <v>20</v>
      </c>
      <c r="B22" s="5">
        <f t="shared" ca="1" si="0"/>
        <v>0.62790872641954032</v>
      </c>
      <c r="C22" s="5" t="s">
        <v>21</v>
      </c>
      <c r="I22" s="19">
        <v>0.56999999999999995</v>
      </c>
      <c r="J22" s="20">
        <v>0.57392996108949412</v>
      </c>
      <c r="K22" s="20">
        <v>0.90946502057613166</v>
      </c>
    </row>
    <row r="23" spans="1:11" x14ac:dyDescent="0.2">
      <c r="A23" s="5">
        <v>21</v>
      </c>
      <c r="B23" s="5">
        <f t="shared" ca="1" si="0"/>
        <v>0.75066455932408593</v>
      </c>
      <c r="C23" s="5" t="s">
        <v>21</v>
      </c>
      <c r="I23" s="19">
        <v>0.6</v>
      </c>
      <c r="J23" s="20">
        <v>0.52334630350194544</v>
      </c>
      <c r="K23" s="20">
        <v>0.83744855967078191</v>
      </c>
    </row>
    <row r="24" spans="1:11" x14ac:dyDescent="0.2">
      <c r="A24" s="5">
        <v>22</v>
      </c>
      <c r="B24" s="5">
        <f t="shared" ca="1" si="0"/>
        <v>0.41497849041094115</v>
      </c>
      <c r="C24" s="5" t="s">
        <v>22</v>
      </c>
      <c r="I24" s="19">
        <v>0.63</v>
      </c>
      <c r="J24" s="20">
        <v>0.44357976653696496</v>
      </c>
      <c r="K24" s="20">
        <v>0.77160493827160492</v>
      </c>
    </row>
    <row r="25" spans="1:11" x14ac:dyDescent="0.2">
      <c r="A25" s="5">
        <v>23</v>
      </c>
      <c r="B25" s="5">
        <f t="shared" ca="1" si="0"/>
        <v>0.82098499068616237</v>
      </c>
      <c r="C25" s="5" t="s">
        <v>21</v>
      </c>
      <c r="I25" s="19">
        <v>0.66</v>
      </c>
      <c r="J25" s="20">
        <v>0.36062378167641329</v>
      </c>
      <c r="K25" s="20">
        <v>0.67145790554414786</v>
      </c>
    </row>
    <row r="26" spans="1:11" x14ac:dyDescent="0.2">
      <c r="A26" s="5">
        <v>24</v>
      </c>
      <c r="B26" s="5">
        <f t="shared" ca="1" si="0"/>
        <v>0.73112208871598261</v>
      </c>
      <c r="C26" s="5" t="s">
        <v>21</v>
      </c>
      <c r="I26" s="19">
        <v>0.69</v>
      </c>
      <c r="J26" s="20">
        <v>0.24124513618677046</v>
      </c>
      <c r="K26" s="20">
        <v>0.55349794238683125</v>
      </c>
    </row>
    <row r="27" spans="1:11" x14ac:dyDescent="0.2">
      <c r="A27" s="5">
        <v>25</v>
      </c>
      <c r="B27" s="5">
        <f t="shared" ca="1" si="0"/>
        <v>0.68147125747113968</v>
      </c>
      <c r="C27" s="5" t="s">
        <v>21</v>
      </c>
      <c r="I27" s="19">
        <v>0.72</v>
      </c>
      <c r="J27" s="20">
        <v>0.19493177387914229</v>
      </c>
      <c r="K27" s="20">
        <v>0.43326488706365501</v>
      </c>
    </row>
    <row r="28" spans="1:11" x14ac:dyDescent="0.2">
      <c r="A28" s="5">
        <v>26</v>
      </c>
      <c r="B28" s="5">
        <f t="shared" ca="1" si="0"/>
        <v>0.61928951087698969</v>
      </c>
      <c r="C28" s="5" t="s">
        <v>21</v>
      </c>
      <c r="I28" s="19">
        <v>0.75</v>
      </c>
      <c r="J28" s="20">
        <v>0.17509727626459148</v>
      </c>
      <c r="K28" s="20">
        <v>0.3271604938271605</v>
      </c>
    </row>
    <row r="29" spans="1:11" x14ac:dyDescent="0.2">
      <c r="A29" s="5">
        <v>27</v>
      </c>
      <c r="B29" s="5">
        <f t="shared" ca="1" si="0"/>
        <v>0.45033297604911815</v>
      </c>
      <c r="C29" s="5" t="s">
        <v>22</v>
      </c>
      <c r="I29" s="19">
        <v>0.78</v>
      </c>
      <c r="J29" s="20">
        <v>0.10916179337231968</v>
      </c>
      <c r="K29" s="20">
        <v>0.19917864476386038</v>
      </c>
    </row>
    <row r="30" spans="1:11" x14ac:dyDescent="0.2">
      <c r="A30" s="5">
        <v>28</v>
      </c>
      <c r="B30" s="5">
        <f t="shared" ca="1" si="0"/>
        <v>0.79777326267263815</v>
      </c>
      <c r="C30" s="5" t="s">
        <v>21</v>
      </c>
      <c r="I30" s="19">
        <v>0.81</v>
      </c>
      <c r="J30" s="20">
        <v>8.7548638132295742E-2</v>
      </c>
      <c r="K30" s="20">
        <v>0.13168724279835392</v>
      </c>
    </row>
    <row r="31" spans="1:11" x14ac:dyDescent="0.2">
      <c r="A31" s="5">
        <v>29</v>
      </c>
      <c r="B31" s="5">
        <f t="shared" ca="1" si="0"/>
        <v>0.51112334130959092</v>
      </c>
      <c r="C31" s="5" t="s">
        <v>22</v>
      </c>
      <c r="I31" s="19">
        <v>0.84</v>
      </c>
      <c r="J31" s="20">
        <v>5.0682261208576995E-2</v>
      </c>
      <c r="K31" s="20">
        <v>9.4455852156057493E-2</v>
      </c>
    </row>
    <row r="32" spans="1:11" x14ac:dyDescent="0.2">
      <c r="A32" s="5">
        <v>30</v>
      </c>
      <c r="B32" s="5">
        <f t="shared" ca="1" si="0"/>
        <v>0.57860584504833545</v>
      </c>
      <c r="C32" s="5" t="s">
        <v>21</v>
      </c>
      <c r="I32" s="19">
        <v>0.87</v>
      </c>
      <c r="J32" s="20">
        <v>3.8986354775828458E-2</v>
      </c>
      <c r="K32" s="20">
        <v>3.0800821355236138E-2</v>
      </c>
    </row>
    <row r="33" spans="1:11" x14ac:dyDescent="0.2">
      <c r="A33" s="5">
        <v>31</v>
      </c>
      <c r="B33" s="5">
        <f t="shared" ca="1" si="0"/>
        <v>0.73109768527284158</v>
      </c>
      <c r="C33" s="5" t="s">
        <v>21</v>
      </c>
      <c r="I33" s="19">
        <v>0.9</v>
      </c>
      <c r="J33" s="20">
        <v>2.529182879377434E-2</v>
      </c>
      <c r="K33" s="20">
        <v>1.646090534979424E-2</v>
      </c>
    </row>
    <row r="34" spans="1:11" x14ac:dyDescent="0.2">
      <c r="A34" s="5">
        <v>32</v>
      </c>
      <c r="B34" s="5">
        <f t="shared" ca="1" si="0"/>
        <v>0.78073380083053057</v>
      </c>
      <c r="C34" s="5" t="s">
        <v>22</v>
      </c>
      <c r="I34" s="19">
        <v>0.93</v>
      </c>
      <c r="J34" s="20">
        <v>7.7972709551656916E-3</v>
      </c>
      <c r="K34" s="20">
        <v>1.0266940451745379E-2</v>
      </c>
    </row>
    <row r="35" spans="1:11" x14ac:dyDescent="0.2">
      <c r="A35" s="5">
        <v>33</v>
      </c>
      <c r="B35" s="5">
        <f t="shared" ca="1" si="0"/>
        <v>0.48651696484107609</v>
      </c>
      <c r="C35" s="5" t="s">
        <v>22</v>
      </c>
      <c r="I35" s="19">
        <v>0.96</v>
      </c>
      <c r="J35" s="20">
        <v>1.1695906432748537E-2</v>
      </c>
      <c r="K35" s="20">
        <v>0</v>
      </c>
    </row>
    <row r="36" spans="1:11" x14ac:dyDescent="0.2">
      <c r="A36" s="5">
        <v>34</v>
      </c>
      <c r="B36" s="5">
        <f t="shared" ca="1" si="0"/>
        <v>0.74417162273389281</v>
      </c>
      <c r="C36" s="5" t="s">
        <v>22</v>
      </c>
      <c r="I36" s="19">
        <v>0.99</v>
      </c>
      <c r="J36" s="20">
        <v>9.7276264591439343E-3</v>
      </c>
      <c r="K36" s="20">
        <v>4.11522633744856E-3</v>
      </c>
    </row>
    <row r="37" spans="1:11" x14ac:dyDescent="0.2">
      <c r="A37" s="5">
        <v>35</v>
      </c>
      <c r="B37" s="5">
        <f t="shared" ca="1" si="0"/>
        <v>0.6998685616020599</v>
      </c>
      <c r="C37" s="5" t="s">
        <v>21</v>
      </c>
      <c r="I37" s="7"/>
    </row>
    <row r="38" spans="1:11" x14ac:dyDescent="0.2">
      <c r="A38" s="5">
        <v>36</v>
      </c>
      <c r="B38" s="5">
        <f t="shared" ca="1" si="0"/>
        <v>0.44323426136325306</v>
      </c>
      <c r="C38" s="5" t="s">
        <v>22</v>
      </c>
    </row>
    <row r="39" spans="1:11" x14ac:dyDescent="0.2">
      <c r="A39" s="5">
        <v>37</v>
      </c>
      <c r="B39" s="5">
        <f t="shared" ca="1" si="0"/>
        <v>0.58272631139844933</v>
      </c>
      <c r="C39" s="5" t="s">
        <v>22</v>
      </c>
    </row>
    <row r="40" spans="1:11" x14ac:dyDescent="0.2">
      <c r="A40" s="5">
        <v>38</v>
      </c>
      <c r="B40" s="5">
        <f t="shared" ca="1" si="0"/>
        <v>0.63426187405800183</v>
      </c>
      <c r="C40" s="5" t="s">
        <v>21</v>
      </c>
    </row>
    <row r="41" spans="1:11" x14ac:dyDescent="0.2">
      <c r="A41" s="5">
        <v>39</v>
      </c>
      <c r="B41" s="5">
        <f t="shared" ca="1" si="0"/>
        <v>0.51652806009542385</v>
      </c>
      <c r="C41" s="5" t="s">
        <v>22</v>
      </c>
    </row>
    <row r="42" spans="1:11" x14ac:dyDescent="0.2">
      <c r="A42" s="5">
        <v>40</v>
      </c>
      <c r="B42" s="5">
        <f t="shared" ca="1" si="0"/>
        <v>0.63430435132586482</v>
      </c>
      <c r="C42" s="5" t="s">
        <v>21</v>
      </c>
    </row>
    <row r="43" spans="1:11" x14ac:dyDescent="0.2">
      <c r="A43" s="5">
        <v>41</v>
      </c>
      <c r="B43" s="5">
        <f t="shared" ca="1" si="0"/>
        <v>1.0125722955662708</v>
      </c>
      <c r="C43" s="5" t="s">
        <v>22</v>
      </c>
    </row>
    <row r="44" spans="1:11" x14ac:dyDescent="0.2">
      <c r="A44" s="5">
        <v>42</v>
      </c>
      <c r="B44" s="5">
        <f t="shared" ca="1" si="0"/>
        <v>0.64551980367255235</v>
      </c>
      <c r="C44" s="5" t="s">
        <v>22</v>
      </c>
    </row>
    <row r="45" spans="1:11" x14ac:dyDescent="0.2">
      <c r="A45" s="5">
        <v>43</v>
      </c>
      <c r="B45" s="5">
        <f t="shared" ca="1" si="0"/>
        <v>0.71862974377261835</v>
      </c>
      <c r="C45" s="5" t="s">
        <v>22</v>
      </c>
    </row>
    <row r="46" spans="1:11" x14ac:dyDescent="0.2">
      <c r="A46" s="5">
        <v>44</v>
      </c>
      <c r="B46" s="5">
        <f t="shared" ca="1" si="0"/>
        <v>0.49553418885699119</v>
      </c>
      <c r="C46" s="5" t="s">
        <v>22</v>
      </c>
    </row>
    <row r="47" spans="1:11" x14ac:dyDescent="0.2">
      <c r="A47" s="5">
        <v>45</v>
      </c>
      <c r="B47" s="5">
        <f t="shared" ca="1" si="0"/>
        <v>0.25723695456181439</v>
      </c>
      <c r="C47" s="5" t="s">
        <v>22</v>
      </c>
    </row>
    <row r="48" spans="1:11" x14ac:dyDescent="0.2">
      <c r="A48" s="5">
        <v>46</v>
      </c>
      <c r="B48" s="5">
        <f t="shared" ca="1" si="0"/>
        <v>0.67253805814505629</v>
      </c>
      <c r="C48" s="5" t="s">
        <v>21</v>
      </c>
    </row>
    <row r="49" spans="1:3" x14ac:dyDescent="0.2">
      <c r="A49" s="5">
        <v>47</v>
      </c>
      <c r="B49" s="5">
        <f t="shared" ca="1" si="0"/>
        <v>0.69154542808119857</v>
      </c>
      <c r="C49" s="5" t="s">
        <v>21</v>
      </c>
    </row>
    <row r="50" spans="1:3" x14ac:dyDescent="0.2">
      <c r="A50" s="5">
        <v>48</v>
      </c>
      <c r="B50" s="5">
        <f t="shared" ca="1" si="0"/>
        <v>0.33406566247125496</v>
      </c>
      <c r="C50" s="5" t="s">
        <v>22</v>
      </c>
    </row>
    <row r="51" spans="1:3" x14ac:dyDescent="0.2">
      <c r="A51" s="5">
        <v>49</v>
      </c>
      <c r="B51" s="5">
        <f t="shared" ca="1" si="0"/>
        <v>0.6938281890426734</v>
      </c>
      <c r="C51" s="5" t="s">
        <v>21</v>
      </c>
    </row>
    <row r="52" spans="1:3" x14ac:dyDescent="0.2">
      <c r="A52" s="5">
        <v>50</v>
      </c>
      <c r="B52" s="5">
        <f t="shared" ca="1" si="0"/>
        <v>0.74064254767047377</v>
      </c>
      <c r="C52" s="5" t="s">
        <v>21</v>
      </c>
    </row>
    <row r="53" spans="1:3" x14ac:dyDescent="0.2">
      <c r="A53" s="5">
        <v>51</v>
      </c>
      <c r="B53" s="5">
        <f t="shared" ca="1" si="0"/>
        <v>0.72744994159124277</v>
      </c>
      <c r="C53" s="5" t="s">
        <v>21</v>
      </c>
    </row>
    <row r="54" spans="1:3" x14ac:dyDescent="0.2">
      <c r="A54" s="5">
        <v>52</v>
      </c>
      <c r="B54" s="5">
        <f t="shared" ca="1" si="0"/>
        <v>0.5719308637966436</v>
      </c>
      <c r="C54" s="5" t="s">
        <v>22</v>
      </c>
    </row>
    <row r="55" spans="1:3" x14ac:dyDescent="0.2">
      <c r="A55" s="5">
        <v>53</v>
      </c>
      <c r="B55" s="5">
        <f t="shared" ca="1" si="0"/>
        <v>0.51836985389520807</v>
      </c>
      <c r="C55" s="5" t="s">
        <v>22</v>
      </c>
    </row>
    <row r="56" spans="1:3" x14ac:dyDescent="0.2">
      <c r="A56" s="5">
        <v>54</v>
      </c>
      <c r="B56" s="5">
        <f t="shared" ca="1" si="0"/>
        <v>0.71886296535213146</v>
      </c>
      <c r="C56" s="5" t="s">
        <v>21</v>
      </c>
    </row>
    <row r="57" spans="1:3" x14ac:dyDescent="0.2">
      <c r="A57" s="5">
        <v>55</v>
      </c>
      <c r="B57" s="5">
        <f t="shared" ca="1" si="0"/>
        <v>0.5769104178864819</v>
      </c>
      <c r="C57" s="5" t="s">
        <v>21</v>
      </c>
    </row>
    <row r="58" spans="1:3" x14ac:dyDescent="0.2">
      <c r="A58" s="5">
        <v>56</v>
      </c>
      <c r="B58" s="5">
        <f t="shared" ca="1" si="0"/>
        <v>0.55856140492780759</v>
      </c>
      <c r="C58" s="5" t="s">
        <v>21</v>
      </c>
    </row>
    <row r="59" spans="1:3" x14ac:dyDescent="0.2">
      <c r="A59" s="5">
        <v>57</v>
      </c>
      <c r="B59" s="5">
        <f t="shared" ca="1" si="0"/>
        <v>0.60302098952751959</v>
      </c>
      <c r="C59" s="5" t="s">
        <v>22</v>
      </c>
    </row>
    <row r="60" spans="1:3" x14ac:dyDescent="0.2">
      <c r="A60" s="5">
        <v>58</v>
      </c>
      <c r="B60" s="5">
        <f t="shared" ca="1" si="0"/>
        <v>0.56568371304244192</v>
      </c>
      <c r="C60" s="5" t="s">
        <v>21</v>
      </c>
    </row>
    <row r="61" spans="1:3" x14ac:dyDescent="0.2">
      <c r="A61" s="5">
        <v>59</v>
      </c>
      <c r="B61" s="5">
        <f t="shared" ca="1" si="0"/>
        <v>0.56595922665571996</v>
      </c>
      <c r="C61" s="5" t="s">
        <v>21</v>
      </c>
    </row>
    <row r="62" spans="1:3" x14ac:dyDescent="0.2">
      <c r="A62" s="5">
        <v>60</v>
      </c>
      <c r="B62" s="5">
        <f t="shared" ca="1" si="0"/>
        <v>0.70684023103581772</v>
      </c>
      <c r="C62" s="5" t="s">
        <v>22</v>
      </c>
    </row>
    <row r="63" spans="1:3" x14ac:dyDescent="0.2">
      <c r="A63" s="5">
        <v>61</v>
      </c>
      <c r="B63" s="5">
        <f t="shared" ca="1" si="0"/>
        <v>0.70470972734621695</v>
      </c>
      <c r="C63" s="5" t="s">
        <v>22</v>
      </c>
    </row>
    <row r="64" spans="1:3" x14ac:dyDescent="0.2">
      <c r="A64" s="5">
        <v>62</v>
      </c>
      <c r="B64" s="5">
        <f t="shared" ca="1" si="0"/>
        <v>0.40199990854636625</v>
      </c>
      <c r="C64" s="5" t="s">
        <v>22</v>
      </c>
    </row>
    <row r="65" spans="1:3" x14ac:dyDescent="0.2">
      <c r="A65" s="5">
        <v>63</v>
      </c>
      <c r="B65" s="5">
        <f t="shared" ca="1" si="0"/>
        <v>0.73835328092955477</v>
      </c>
      <c r="C65" s="5" t="s">
        <v>21</v>
      </c>
    </row>
    <row r="66" spans="1:3" x14ac:dyDescent="0.2">
      <c r="A66" s="5">
        <v>64</v>
      </c>
      <c r="B66" s="5">
        <f t="shared" ca="1" si="0"/>
        <v>0.49250752862656955</v>
      </c>
      <c r="C66" s="5" t="s">
        <v>21</v>
      </c>
    </row>
    <row r="67" spans="1:3" x14ac:dyDescent="0.2">
      <c r="A67" s="5">
        <v>65</v>
      </c>
      <c r="B67" s="5">
        <f t="shared" ca="1" si="0"/>
        <v>0.66435593090872946</v>
      </c>
      <c r="C67" s="5" t="s">
        <v>21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0.80559540344066805</v>
      </c>
      <c r="C68" s="5" t="s">
        <v>21</v>
      </c>
    </row>
    <row r="69" spans="1:3" x14ac:dyDescent="0.2">
      <c r="A69" s="5">
        <v>67</v>
      </c>
      <c r="B69" s="5">
        <f t="shared" ca="1" si="1"/>
        <v>0.82321341190913333</v>
      </c>
      <c r="C69" s="5" t="s">
        <v>21</v>
      </c>
    </row>
    <row r="70" spans="1:3" x14ac:dyDescent="0.2">
      <c r="A70" s="5">
        <v>68</v>
      </c>
      <c r="B70" s="5">
        <f t="shared" ca="1" si="1"/>
        <v>0.78557941797457986</v>
      </c>
      <c r="C70" s="5" t="s">
        <v>22</v>
      </c>
    </row>
    <row r="71" spans="1:3" x14ac:dyDescent="0.2">
      <c r="A71" s="5">
        <v>69</v>
      </c>
      <c r="B71" s="5">
        <f t="shared" ca="1" si="1"/>
        <v>0.62367871193625524</v>
      </c>
      <c r="C71" s="5" t="s">
        <v>22</v>
      </c>
    </row>
    <row r="72" spans="1:3" x14ac:dyDescent="0.2">
      <c r="A72" s="5">
        <v>70</v>
      </c>
      <c r="B72" s="5">
        <f t="shared" ca="1" si="1"/>
        <v>0.63042561503929351</v>
      </c>
      <c r="C72" s="5" t="s">
        <v>22</v>
      </c>
    </row>
    <row r="73" spans="1:3" x14ac:dyDescent="0.2">
      <c r="A73" s="5">
        <v>71</v>
      </c>
      <c r="B73" s="5">
        <f t="shared" ca="1" si="1"/>
        <v>0.60570314917181889</v>
      </c>
      <c r="C73" s="5" t="s">
        <v>22</v>
      </c>
    </row>
    <row r="74" spans="1:3" x14ac:dyDescent="0.2">
      <c r="A74" s="5">
        <v>72</v>
      </c>
      <c r="B74" s="5">
        <f t="shared" ca="1" si="1"/>
        <v>0.36835426222808543</v>
      </c>
      <c r="C74" s="5" t="s">
        <v>22</v>
      </c>
    </row>
    <row r="75" spans="1:3" x14ac:dyDescent="0.2">
      <c r="A75" s="5">
        <v>73</v>
      </c>
      <c r="B75" s="5">
        <f t="shared" ca="1" si="1"/>
        <v>0.89929798405216155</v>
      </c>
      <c r="C75" s="5" t="s">
        <v>21</v>
      </c>
    </row>
    <row r="76" spans="1:3" x14ac:dyDescent="0.2">
      <c r="A76" s="5">
        <v>74</v>
      </c>
      <c r="B76" s="5">
        <f t="shared" ca="1" si="1"/>
        <v>0.72793175358979489</v>
      </c>
      <c r="C76" s="5" t="s">
        <v>21</v>
      </c>
    </row>
    <row r="77" spans="1:3" x14ac:dyDescent="0.2">
      <c r="A77" s="5">
        <v>75</v>
      </c>
      <c r="B77" s="5">
        <f t="shared" ca="1" si="1"/>
        <v>0.62940505548245052</v>
      </c>
      <c r="C77" s="5" t="s">
        <v>21</v>
      </c>
    </row>
    <row r="78" spans="1:3" x14ac:dyDescent="0.2">
      <c r="A78" s="5">
        <v>76</v>
      </c>
      <c r="B78" s="5">
        <f t="shared" ca="1" si="1"/>
        <v>0.69093431994281718</v>
      </c>
      <c r="C78" s="5" t="s">
        <v>21</v>
      </c>
    </row>
    <row r="79" spans="1:3" x14ac:dyDescent="0.2">
      <c r="A79" s="5">
        <v>77</v>
      </c>
      <c r="B79" s="5">
        <f t="shared" ca="1" si="1"/>
        <v>0.55898612677539161</v>
      </c>
      <c r="C79" s="5" t="s">
        <v>22</v>
      </c>
    </row>
    <row r="80" spans="1:3" x14ac:dyDescent="0.2">
      <c r="A80" s="5">
        <v>78</v>
      </c>
      <c r="B80" s="5">
        <f t="shared" ca="1" si="1"/>
        <v>0.61195654426145207</v>
      </c>
      <c r="C80" s="5" t="s">
        <v>21</v>
      </c>
    </row>
    <row r="81" spans="1:3" x14ac:dyDescent="0.2">
      <c r="A81" s="5">
        <v>79</v>
      </c>
      <c r="B81" s="5">
        <f t="shared" ca="1" si="1"/>
        <v>0.35637211075413899</v>
      </c>
      <c r="C81" s="5" t="s">
        <v>22</v>
      </c>
    </row>
    <row r="82" spans="1:3" x14ac:dyDescent="0.2">
      <c r="A82" s="5">
        <v>80</v>
      </c>
      <c r="B82" s="5">
        <f t="shared" ca="1" si="1"/>
        <v>0.53993783458483957</v>
      </c>
      <c r="C82" s="5" t="s">
        <v>21</v>
      </c>
    </row>
    <row r="83" spans="1:3" x14ac:dyDescent="0.2">
      <c r="A83" s="5">
        <v>81</v>
      </c>
      <c r="B83" s="5">
        <f t="shared" ca="1" si="1"/>
        <v>0.75576278369101046</v>
      </c>
      <c r="C83" s="5" t="s">
        <v>21</v>
      </c>
    </row>
    <row r="84" spans="1:3" x14ac:dyDescent="0.2">
      <c r="A84" s="5">
        <v>82</v>
      </c>
      <c r="B84" s="5">
        <f t="shared" ca="1" si="1"/>
        <v>0.57487717359343227</v>
      </c>
      <c r="C84" s="5" t="s">
        <v>22</v>
      </c>
    </row>
    <row r="85" spans="1:3" x14ac:dyDescent="0.2">
      <c r="A85" s="5">
        <v>83</v>
      </c>
      <c r="B85" s="5">
        <f t="shared" ca="1" si="1"/>
        <v>0.71938138583960187</v>
      </c>
      <c r="C85" s="5" t="s">
        <v>21</v>
      </c>
    </row>
    <row r="86" spans="1:3" x14ac:dyDescent="0.2">
      <c r="A86" s="5">
        <v>84</v>
      </c>
      <c r="B86" s="5">
        <f t="shared" ca="1" si="1"/>
        <v>0.70896312102457426</v>
      </c>
      <c r="C86" s="5" t="s">
        <v>21</v>
      </c>
    </row>
    <row r="87" spans="1:3" x14ac:dyDescent="0.2">
      <c r="A87" s="5">
        <v>85</v>
      </c>
      <c r="B87" s="5">
        <f t="shared" ca="1" si="1"/>
        <v>0.52623170218275928</v>
      </c>
      <c r="C87" s="5" t="s">
        <v>22</v>
      </c>
    </row>
    <row r="88" spans="1:3" x14ac:dyDescent="0.2">
      <c r="A88" s="5">
        <v>86</v>
      </c>
      <c r="B88" s="5">
        <f t="shared" ca="1" si="1"/>
        <v>0.68929297055523819</v>
      </c>
      <c r="C88" s="5" t="s">
        <v>22</v>
      </c>
    </row>
    <row r="89" spans="1:3" x14ac:dyDescent="0.2">
      <c r="A89" s="5">
        <v>87</v>
      </c>
      <c r="B89" s="5">
        <f t="shared" ca="1" si="1"/>
        <v>0.67211977484841967</v>
      </c>
      <c r="C89" s="5" t="s">
        <v>22</v>
      </c>
    </row>
    <row r="90" spans="1:3" x14ac:dyDescent="0.2">
      <c r="A90" s="5">
        <v>88</v>
      </c>
      <c r="B90" s="5">
        <f t="shared" ca="1" si="1"/>
        <v>0.51394482294450639</v>
      </c>
      <c r="C90" s="5" t="s">
        <v>22</v>
      </c>
    </row>
    <row r="91" spans="1:3" x14ac:dyDescent="0.2">
      <c r="A91" s="5">
        <v>89</v>
      </c>
      <c r="B91" s="5">
        <f t="shared" ca="1" si="1"/>
        <v>0.53693449998428533</v>
      </c>
      <c r="C91" s="5" t="s">
        <v>22</v>
      </c>
    </row>
    <row r="92" spans="1:3" x14ac:dyDescent="0.2">
      <c r="A92" s="5">
        <v>90</v>
      </c>
      <c r="B92" s="5">
        <f t="shared" ca="1" si="1"/>
        <v>0.64662186658188725</v>
      </c>
      <c r="C92" s="5" t="s">
        <v>21</v>
      </c>
    </row>
    <row r="93" spans="1:3" x14ac:dyDescent="0.2">
      <c r="A93" s="5">
        <v>91</v>
      </c>
      <c r="B93" s="5">
        <f t="shared" ca="1" si="1"/>
        <v>0.69930534250143683</v>
      </c>
      <c r="C93" s="5" t="s">
        <v>21</v>
      </c>
    </row>
    <row r="94" spans="1:3" x14ac:dyDescent="0.2">
      <c r="A94" s="5">
        <v>92</v>
      </c>
      <c r="B94" s="5">
        <f t="shared" ca="1" si="1"/>
        <v>0.50337709766029548</v>
      </c>
      <c r="C94" s="5" t="s">
        <v>22</v>
      </c>
    </row>
    <row r="95" spans="1:3" x14ac:dyDescent="0.2">
      <c r="A95" s="5">
        <v>93</v>
      </c>
      <c r="B95" s="5">
        <f t="shared" ca="1" si="1"/>
        <v>0.64717297896621384</v>
      </c>
      <c r="C95" s="5" t="s">
        <v>21</v>
      </c>
    </row>
    <row r="96" spans="1:3" x14ac:dyDescent="0.2">
      <c r="A96" s="5">
        <v>94</v>
      </c>
      <c r="B96" s="5">
        <f t="shared" ca="1" si="1"/>
        <v>0.86742011592184942</v>
      </c>
      <c r="C96" s="5" t="s">
        <v>21</v>
      </c>
    </row>
    <row r="97" spans="1:3" x14ac:dyDescent="0.2">
      <c r="A97" s="5">
        <v>95</v>
      </c>
      <c r="B97" s="5">
        <f t="shared" ca="1" si="1"/>
        <v>0.43685789774217421</v>
      </c>
      <c r="C97" s="5" t="s">
        <v>22</v>
      </c>
    </row>
    <row r="98" spans="1:3" x14ac:dyDescent="0.2">
      <c r="A98" s="5">
        <v>96</v>
      </c>
      <c r="B98" s="5">
        <f t="shared" ca="1" si="1"/>
        <v>0.91753365057076008</v>
      </c>
      <c r="C98" s="5" t="s">
        <v>22</v>
      </c>
    </row>
    <row r="99" spans="1:3" x14ac:dyDescent="0.2">
      <c r="A99" s="5">
        <v>97</v>
      </c>
      <c r="B99" s="5">
        <f t="shared" ca="1" si="1"/>
        <v>0.71594625817438118</v>
      </c>
      <c r="C99" s="5" t="s">
        <v>21</v>
      </c>
    </row>
    <row r="100" spans="1:3" x14ac:dyDescent="0.2">
      <c r="A100" s="5">
        <v>98</v>
      </c>
      <c r="B100" s="5">
        <f t="shared" ca="1" si="1"/>
        <v>0.89462840236928387</v>
      </c>
      <c r="C100" s="5" t="s">
        <v>21</v>
      </c>
    </row>
    <row r="101" spans="1:3" x14ac:dyDescent="0.2">
      <c r="A101" s="5">
        <v>99</v>
      </c>
      <c r="B101" s="5">
        <f t="shared" ca="1" si="1"/>
        <v>0.59628817626031272</v>
      </c>
      <c r="C101" s="5" t="s">
        <v>21</v>
      </c>
    </row>
    <row r="102" spans="1:3" x14ac:dyDescent="0.2">
      <c r="A102" s="5">
        <v>100</v>
      </c>
      <c r="B102" s="5">
        <f t="shared" ca="1" si="1"/>
        <v>0.52919967997625084</v>
      </c>
      <c r="C102" s="5" t="s">
        <v>22</v>
      </c>
    </row>
    <row r="103" spans="1:3" x14ac:dyDescent="0.2">
      <c r="A103" s="5">
        <v>101</v>
      </c>
      <c r="B103" s="5">
        <f t="shared" ca="1" si="1"/>
        <v>0.7003969427176866</v>
      </c>
      <c r="C103" s="5" t="s">
        <v>21</v>
      </c>
    </row>
    <row r="104" spans="1:3" x14ac:dyDescent="0.2">
      <c r="A104" s="5">
        <v>102</v>
      </c>
      <c r="B104" s="5">
        <f t="shared" ca="1" si="1"/>
        <v>0.75936503455082005</v>
      </c>
      <c r="C104" s="5" t="s">
        <v>22</v>
      </c>
    </row>
    <row r="105" spans="1:3" x14ac:dyDescent="0.2">
      <c r="A105" s="5">
        <v>103</v>
      </c>
      <c r="B105" s="5">
        <f t="shared" ca="1" si="1"/>
        <v>0.49680294233220529</v>
      </c>
      <c r="C105" s="5" t="s">
        <v>22</v>
      </c>
    </row>
    <row r="106" spans="1:3" x14ac:dyDescent="0.2">
      <c r="A106" s="5">
        <v>104</v>
      </c>
      <c r="B106" s="5">
        <f t="shared" ca="1" si="1"/>
        <v>0.59175479892345251</v>
      </c>
      <c r="C106" s="5" t="s">
        <v>22</v>
      </c>
    </row>
    <row r="107" spans="1:3" x14ac:dyDescent="0.2">
      <c r="A107" s="5">
        <v>105</v>
      </c>
      <c r="B107" s="5">
        <f t="shared" ca="1" si="1"/>
        <v>0.54298204243392556</v>
      </c>
      <c r="C107" s="5" t="s">
        <v>21</v>
      </c>
    </row>
    <row r="108" spans="1:3" x14ac:dyDescent="0.2">
      <c r="A108" s="5">
        <v>106</v>
      </c>
      <c r="B108" s="5">
        <f t="shared" ca="1" si="1"/>
        <v>0.77798458040269758</v>
      </c>
      <c r="C108" s="5" t="s">
        <v>22</v>
      </c>
    </row>
    <row r="109" spans="1:3" x14ac:dyDescent="0.2">
      <c r="A109" s="5">
        <v>107</v>
      </c>
      <c r="B109" s="5">
        <f t="shared" ca="1" si="1"/>
        <v>0.53771152245490761</v>
      </c>
      <c r="C109" s="5" t="s">
        <v>22</v>
      </c>
    </row>
    <row r="110" spans="1:3" x14ac:dyDescent="0.2">
      <c r="A110" s="5">
        <v>108</v>
      </c>
      <c r="B110" s="5">
        <f t="shared" ca="1" si="1"/>
        <v>0.65471832994224888</v>
      </c>
      <c r="C110" s="5" t="s">
        <v>22</v>
      </c>
    </row>
    <row r="111" spans="1:3" x14ac:dyDescent="0.2">
      <c r="A111" s="5">
        <v>109</v>
      </c>
      <c r="B111" s="5">
        <f t="shared" ca="1" si="1"/>
        <v>0.60715304623536981</v>
      </c>
      <c r="C111" s="5" t="s">
        <v>22</v>
      </c>
    </row>
    <row r="112" spans="1:3" x14ac:dyDescent="0.2">
      <c r="A112" s="5">
        <v>110</v>
      </c>
      <c r="B112" s="5">
        <f t="shared" ca="1" si="1"/>
        <v>0.61534107646559311</v>
      </c>
      <c r="C112" s="5" t="s">
        <v>22</v>
      </c>
    </row>
    <row r="113" spans="1:3" x14ac:dyDescent="0.2">
      <c r="A113" s="5">
        <v>111</v>
      </c>
      <c r="B113" s="5">
        <f t="shared" ca="1" si="1"/>
        <v>0.75418451893205074</v>
      </c>
      <c r="C113" s="5" t="s">
        <v>21</v>
      </c>
    </row>
    <row r="114" spans="1:3" x14ac:dyDescent="0.2">
      <c r="A114" s="5">
        <v>112</v>
      </c>
      <c r="B114" s="5">
        <f t="shared" ca="1" si="1"/>
        <v>0.74328795075095899</v>
      </c>
      <c r="C114" s="5" t="s">
        <v>22</v>
      </c>
    </row>
    <row r="115" spans="1:3" x14ac:dyDescent="0.2">
      <c r="A115" s="5">
        <v>113</v>
      </c>
      <c r="B115" s="5">
        <f t="shared" ca="1" si="1"/>
        <v>0.45734575618956458</v>
      </c>
      <c r="C115" s="5" t="s">
        <v>22</v>
      </c>
    </row>
    <row r="116" spans="1:3" x14ac:dyDescent="0.2">
      <c r="A116" s="5">
        <v>114</v>
      </c>
      <c r="B116" s="5">
        <f t="shared" ca="1" si="1"/>
        <v>0.61722004847153022</v>
      </c>
      <c r="C116" s="5" t="s">
        <v>22</v>
      </c>
    </row>
    <row r="117" spans="1:3" x14ac:dyDescent="0.2">
      <c r="A117" s="5">
        <v>115</v>
      </c>
      <c r="B117" s="5">
        <f t="shared" ca="1" si="1"/>
        <v>0.56693916451548088</v>
      </c>
      <c r="C117" s="5" t="s">
        <v>22</v>
      </c>
    </row>
    <row r="118" spans="1:3" x14ac:dyDescent="0.2">
      <c r="A118" s="5">
        <v>116</v>
      </c>
      <c r="B118" s="5">
        <f t="shared" ca="1" si="1"/>
        <v>0.73253630861251273</v>
      </c>
      <c r="C118" s="5" t="s">
        <v>22</v>
      </c>
    </row>
    <row r="119" spans="1:3" x14ac:dyDescent="0.2">
      <c r="A119" s="5">
        <v>117</v>
      </c>
      <c r="B119" s="5">
        <f t="shared" ca="1" si="1"/>
        <v>0.83011243743259999</v>
      </c>
      <c r="C119" s="5" t="s">
        <v>22</v>
      </c>
    </row>
    <row r="120" spans="1:3" x14ac:dyDescent="0.2">
      <c r="A120" s="5">
        <v>118</v>
      </c>
      <c r="B120" s="5">
        <f t="shared" ca="1" si="1"/>
        <v>0.57641756074669093</v>
      </c>
      <c r="C120" s="5" t="s">
        <v>22</v>
      </c>
    </row>
    <row r="121" spans="1:3" x14ac:dyDescent="0.2">
      <c r="A121" s="5">
        <v>119</v>
      </c>
      <c r="B121" s="5">
        <f t="shared" ca="1" si="1"/>
        <v>0.47618157845137937</v>
      </c>
      <c r="C121" s="5" t="s">
        <v>22</v>
      </c>
    </row>
    <row r="122" spans="1:3" x14ac:dyDescent="0.2">
      <c r="A122" s="5">
        <v>120</v>
      </c>
      <c r="B122" s="5">
        <f t="shared" ca="1" si="1"/>
        <v>0.75390894330972746</v>
      </c>
      <c r="C122" s="5" t="s">
        <v>21</v>
      </c>
    </row>
    <row r="123" spans="1:3" x14ac:dyDescent="0.2">
      <c r="A123" s="5">
        <v>121</v>
      </c>
      <c r="B123" s="5">
        <f t="shared" ca="1" si="1"/>
        <v>0.63387687687560845</v>
      </c>
      <c r="C123" s="5" t="s">
        <v>21</v>
      </c>
    </row>
    <row r="124" spans="1:3" x14ac:dyDescent="0.2">
      <c r="A124" s="5">
        <v>122</v>
      </c>
      <c r="B124" s="5">
        <f t="shared" ca="1" si="1"/>
        <v>0.42100909275181003</v>
      </c>
      <c r="C124" s="5" t="s">
        <v>22</v>
      </c>
    </row>
    <row r="125" spans="1:3" x14ac:dyDescent="0.2">
      <c r="A125" s="5">
        <v>123</v>
      </c>
      <c r="B125" s="5">
        <f t="shared" ca="1" si="1"/>
        <v>0.79634029111715721</v>
      </c>
      <c r="C125" s="5" t="s">
        <v>21</v>
      </c>
    </row>
    <row r="126" spans="1:3" x14ac:dyDescent="0.2">
      <c r="A126" s="5">
        <v>124</v>
      </c>
      <c r="B126" s="5">
        <f t="shared" ca="1" si="1"/>
        <v>0.7337645993146652</v>
      </c>
      <c r="C126" s="5" t="s">
        <v>21</v>
      </c>
    </row>
    <row r="127" spans="1:3" x14ac:dyDescent="0.2">
      <c r="A127" s="5">
        <v>125</v>
      </c>
      <c r="B127" s="5">
        <f t="shared" ca="1" si="1"/>
        <v>0.16431848424196605</v>
      </c>
      <c r="C127" s="5" t="s">
        <v>22</v>
      </c>
    </row>
    <row r="128" spans="1:3" x14ac:dyDescent="0.2">
      <c r="A128" s="5">
        <v>126</v>
      </c>
      <c r="B128" s="5">
        <f t="shared" ca="1" si="1"/>
        <v>0.69694331909894003</v>
      </c>
      <c r="C128" s="5" t="s">
        <v>22</v>
      </c>
    </row>
    <row r="129" spans="1:3" x14ac:dyDescent="0.2">
      <c r="A129" s="5">
        <v>127</v>
      </c>
      <c r="B129" s="5">
        <f t="shared" ca="1" si="1"/>
        <v>0.44742403974178885</v>
      </c>
      <c r="C129" s="5" t="s">
        <v>22</v>
      </c>
    </row>
    <row r="130" spans="1:3" x14ac:dyDescent="0.2">
      <c r="A130" s="5">
        <v>128</v>
      </c>
      <c r="B130" s="5">
        <f t="shared" ca="1" si="1"/>
        <v>0.54204178649699952</v>
      </c>
      <c r="C130" s="5" t="s">
        <v>22</v>
      </c>
    </row>
    <row r="131" spans="1:3" x14ac:dyDescent="0.2">
      <c r="A131" s="5">
        <v>129</v>
      </c>
      <c r="B131" s="5">
        <f t="shared" ca="1" si="1"/>
        <v>0.46198637022459055</v>
      </c>
      <c r="C131" s="5" t="s">
        <v>22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0.48907226800545311</v>
      </c>
      <c r="C132" s="5" t="s">
        <v>21</v>
      </c>
    </row>
    <row r="133" spans="1:3" x14ac:dyDescent="0.2">
      <c r="A133" s="5">
        <v>131</v>
      </c>
      <c r="B133" s="5">
        <f t="shared" ca="1" si="2"/>
        <v>0.59694394687899766</v>
      </c>
      <c r="C133" s="5" t="s">
        <v>21</v>
      </c>
    </row>
    <row r="134" spans="1:3" x14ac:dyDescent="0.2">
      <c r="A134" s="5">
        <v>132</v>
      </c>
      <c r="B134" s="5">
        <f t="shared" ca="1" si="2"/>
        <v>0.66986255641327153</v>
      </c>
      <c r="C134" s="5" t="s">
        <v>21</v>
      </c>
    </row>
    <row r="135" spans="1:3" x14ac:dyDescent="0.2">
      <c r="A135" s="5">
        <v>133</v>
      </c>
      <c r="B135" s="5">
        <f t="shared" ca="1" si="2"/>
        <v>0.79265027616285599</v>
      </c>
      <c r="C135" s="5" t="s">
        <v>21</v>
      </c>
    </row>
    <row r="136" spans="1:3" x14ac:dyDescent="0.2">
      <c r="A136" s="5">
        <v>134</v>
      </c>
      <c r="B136" s="5">
        <f t="shared" ca="1" si="2"/>
        <v>0.40867164073973922</v>
      </c>
      <c r="C136" s="5" t="s">
        <v>22</v>
      </c>
    </row>
    <row r="137" spans="1:3" x14ac:dyDescent="0.2">
      <c r="A137" s="5">
        <v>135</v>
      </c>
      <c r="B137" s="5">
        <f t="shared" ca="1" si="2"/>
        <v>0.62584936771168498</v>
      </c>
      <c r="C137" s="5" t="s">
        <v>21</v>
      </c>
    </row>
    <row r="138" spans="1:3" x14ac:dyDescent="0.2">
      <c r="A138" s="5">
        <v>136</v>
      </c>
      <c r="B138" s="5">
        <f t="shared" ca="1" si="2"/>
        <v>0.66313649574228439</v>
      </c>
      <c r="C138" s="5" t="s">
        <v>21</v>
      </c>
    </row>
    <row r="139" spans="1:3" x14ac:dyDescent="0.2">
      <c r="A139" s="5">
        <v>137</v>
      </c>
      <c r="B139" s="5">
        <f t="shared" ca="1" si="2"/>
        <v>0.57118983699050796</v>
      </c>
      <c r="C139" s="5" t="s">
        <v>22</v>
      </c>
    </row>
    <row r="140" spans="1:3" x14ac:dyDescent="0.2">
      <c r="A140" s="5">
        <v>138</v>
      </c>
      <c r="B140" s="5">
        <f t="shared" ca="1" si="2"/>
        <v>0.54392320771570601</v>
      </c>
      <c r="C140" s="5" t="s">
        <v>21</v>
      </c>
    </row>
    <row r="141" spans="1:3" x14ac:dyDescent="0.2">
      <c r="A141" s="5">
        <v>139</v>
      </c>
      <c r="B141" s="5">
        <f t="shared" ca="1" si="2"/>
        <v>0.69374707180496364</v>
      </c>
      <c r="C141" s="5" t="s">
        <v>22</v>
      </c>
    </row>
    <row r="142" spans="1:3" x14ac:dyDescent="0.2">
      <c r="A142" s="5">
        <v>140</v>
      </c>
      <c r="B142" s="5">
        <f t="shared" ca="1" si="2"/>
        <v>0.49149838138877022</v>
      </c>
      <c r="C142" s="5" t="s">
        <v>22</v>
      </c>
    </row>
    <row r="143" spans="1:3" x14ac:dyDescent="0.2">
      <c r="A143" s="5">
        <v>141</v>
      </c>
      <c r="B143" s="5">
        <f t="shared" ca="1" si="2"/>
        <v>0.80039035957123006</v>
      </c>
      <c r="C143" s="5" t="s">
        <v>22</v>
      </c>
    </row>
    <row r="144" spans="1:3" x14ac:dyDescent="0.2">
      <c r="A144" s="5">
        <v>142</v>
      </c>
      <c r="B144" s="5">
        <f t="shared" ca="1" si="2"/>
        <v>0.68596562983282416</v>
      </c>
      <c r="C144" s="5" t="s">
        <v>21</v>
      </c>
    </row>
    <row r="145" spans="1:3" x14ac:dyDescent="0.2">
      <c r="A145" s="5">
        <v>143</v>
      </c>
      <c r="B145" s="5">
        <f t="shared" ca="1" si="2"/>
        <v>0.5459949655110643</v>
      </c>
      <c r="C145" s="5" t="s">
        <v>22</v>
      </c>
    </row>
    <row r="146" spans="1:3" x14ac:dyDescent="0.2">
      <c r="A146" s="5">
        <v>144</v>
      </c>
      <c r="B146" s="5">
        <f t="shared" ca="1" si="2"/>
        <v>0.64800862197124576</v>
      </c>
      <c r="C146" s="5" t="s">
        <v>21</v>
      </c>
    </row>
    <row r="147" spans="1:3" x14ac:dyDescent="0.2">
      <c r="A147" s="5">
        <v>145</v>
      </c>
      <c r="B147" s="5">
        <f t="shared" ca="1" si="2"/>
        <v>0.61504131001190243</v>
      </c>
      <c r="C147" s="5" t="s">
        <v>22</v>
      </c>
    </row>
    <row r="148" spans="1:3" x14ac:dyDescent="0.2">
      <c r="A148" s="5">
        <v>146</v>
      </c>
      <c r="B148" s="5">
        <f t="shared" ca="1" si="2"/>
        <v>0.6253365514099184</v>
      </c>
      <c r="C148" s="5" t="s">
        <v>22</v>
      </c>
    </row>
    <row r="149" spans="1:3" x14ac:dyDescent="0.2">
      <c r="A149" s="5">
        <v>147</v>
      </c>
      <c r="B149" s="5">
        <f t="shared" ca="1" si="2"/>
        <v>0.80027302007748935</v>
      </c>
      <c r="C149" s="5" t="s">
        <v>21</v>
      </c>
    </row>
    <row r="150" spans="1:3" x14ac:dyDescent="0.2">
      <c r="A150" s="5">
        <v>148</v>
      </c>
      <c r="B150" s="5">
        <f t="shared" ca="1" si="2"/>
        <v>0.58849608332329417</v>
      </c>
      <c r="C150" s="5" t="s">
        <v>22</v>
      </c>
    </row>
    <row r="151" spans="1:3" x14ac:dyDescent="0.2">
      <c r="A151" s="5">
        <v>149</v>
      </c>
      <c r="B151" s="5">
        <f t="shared" ca="1" si="2"/>
        <v>0.60287173164727514</v>
      </c>
      <c r="C151" s="5" t="s">
        <v>22</v>
      </c>
    </row>
    <row r="152" spans="1:3" x14ac:dyDescent="0.2">
      <c r="A152" s="5">
        <v>150</v>
      </c>
      <c r="B152" s="5">
        <f t="shared" ca="1" si="2"/>
        <v>0.76129242928407626</v>
      </c>
      <c r="C152" s="5" t="s">
        <v>22</v>
      </c>
    </row>
    <row r="153" spans="1:3" x14ac:dyDescent="0.2">
      <c r="A153" s="5">
        <v>151</v>
      </c>
      <c r="B153" s="5">
        <f t="shared" ca="1" si="2"/>
        <v>0.67655598468292955</v>
      </c>
      <c r="C153" s="5" t="s">
        <v>21</v>
      </c>
    </row>
    <row r="154" spans="1:3" x14ac:dyDescent="0.2">
      <c r="A154" s="5">
        <v>152</v>
      </c>
      <c r="B154" s="5">
        <f t="shared" ca="1" si="2"/>
        <v>0.69408716608241139</v>
      </c>
      <c r="C154" s="5" t="s">
        <v>21</v>
      </c>
    </row>
    <row r="155" spans="1:3" x14ac:dyDescent="0.2">
      <c r="A155" s="5">
        <v>153</v>
      </c>
      <c r="B155" s="5">
        <f t="shared" ca="1" si="2"/>
        <v>0.62479209268703051</v>
      </c>
      <c r="C155" s="5" t="s">
        <v>21</v>
      </c>
    </row>
    <row r="156" spans="1:3" x14ac:dyDescent="0.2">
      <c r="A156" s="5">
        <v>154</v>
      </c>
      <c r="B156" s="5">
        <f t="shared" ca="1" si="2"/>
        <v>0.64677047186440673</v>
      </c>
      <c r="C156" s="5" t="s">
        <v>22</v>
      </c>
    </row>
    <row r="157" spans="1:3" x14ac:dyDescent="0.2">
      <c r="A157" s="5">
        <v>155</v>
      </c>
      <c r="B157" s="5">
        <f t="shared" ca="1" si="2"/>
        <v>0.85414910822560797</v>
      </c>
      <c r="C157" s="5" t="s">
        <v>21</v>
      </c>
    </row>
    <row r="158" spans="1:3" x14ac:dyDescent="0.2">
      <c r="A158" s="5">
        <v>156</v>
      </c>
      <c r="B158" s="5">
        <f t="shared" ca="1" si="2"/>
        <v>0.81274295211084513</v>
      </c>
      <c r="C158" s="5" t="s">
        <v>21</v>
      </c>
    </row>
    <row r="159" spans="1:3" x14ac:dyDescent="0.2">
      <c r="A159" s="5">
        <v>157</v>
      </c>
      <c r="B159" s="5">
        <f t="shared" ca="1" si="2"/>
        <v>0.71250402540313917</v>
      </c>
      <c r="C159" s="5" t="s">
        <v>22</v>
      </c>
    </row>
    <row r="160" spans="1:3" x14ac:dyDescent="0.2">
      <c r="A160" s="5">
        <v>158</v>
      </c>
      <c r="B160" s="5">
        <f t="shared" ca="1" si="2"/>
        <v>0.59717923955744456</v>
      </c>
      <c r="C160" s="5" t="s">
        <v>22</v>
      </c>
    </row>
    <row r="161" spans="1:3" x14ac:dyDescent="0.2">
      <c r="A161" s="5">
        <v>159</v>
      </c>
      <c r="B161" s="5">
        <f t="shared" ca="1" si="2"/>
        <v>0.83507827916455957</v>
      </c>
      <c r="C161" s="5" t="s">
        <v>21</v>
      </c>
    </row>
    <row r="162" spans="1:3" x14ac:dyDescent="0.2">
      <c r="A162" s="5">
        <v>160</v>
      </c>
      <c r="B162" s="5">
        <f t="shared" ca="1" si="2"/>
        <v>0.61066520173195293</v>
      </c>
      <c r="C162" s="5" t="s">
        <v>21</v>
      </c>
    </row>
    <row r="163" spans="1:3" x14ac:dyDescent="0.2">
      <c r="A163" s="5">
        <v>161</v>
      </c>
      <c r="B163" s="5">
        <f t="shared" ca="1" si="2"/>
        <v>0.86745079368673439</v>
      </c>
      <c r="C163" s="5" t="s">
        <v>21</v>
      </c>
    </row>
    <row r="164" spans="1:3" x14ac:dyDescent="0.2">
      <c r="A164" s="5">
        <v>162</v>
      </c>
      <c r="B164" s="5">
        <f t="shared" ca="1" si="2"/>
        <v>0.54186993891294766</v>
      </c>
      <c r="C164" s="5" t="s">
        <v>22</v>
      </c>
    </row>
    <row r="165" spans="1:3" x14ac:dyDescent="0.2">
      <c r="A165" s="5">
        <v>163</v>
      </c>
      <c r="B165" s="5">
        <f t="shared" ca="1" si="2"/>
        <v>0.82631851237608134</v>
      </c>
      <c r="C165" s="5" t="s">
        <v>22</v>
      </c>
    </row>
    <row r="166" spans="1:3" x14ac:dyDescent="0.2">
      <c r="A166" s="5">
        <v>164</v>
      </c>
      <c r="B166" s="5">
        <f t="shared" ca="1" si="2"/>
        <v>0.63670392794760822</v>
      </c>
      <c r="C166" s="5" t="s">
        <v>22</v>
      </c>
    </row>
    <row r="167" spans="1:3" x14ac:dyDescent="0.2">
      <c r="A167" s="5">
        <v>165</v>
      </c>
      <c r="B167" s="5">
        <f t="shared" ca="1" si="2"/>
        <v>0.5284789499001179</v>
      </c>
      <c r="C167" s="5" t="s">
        <v>22</v>
      </c>
    </row>
    <row r="168" spans="1:3" x14ac:dyDescent="0.2">
      <c r="A168" s="5">
        <v>166</v>
      </c>
      <c r="B168" s="5">
        <f t="shared" ca="1" si="2"/>
        <v>0.70159737846265269</v>
      </c>
      <c r="C168" s="5" t="s">
        <v>21</v>
      </c>
    </row>
    <row r="169" spans="1:3" x14ac:dyDescent="0.2">
      <c r="A169" s="5">
        <v>167</v>
      </c>
      <c r="B169" s="5">
        <f t="shared" ca="1" si="2"/>
        <v>0.51934779762926597</v>
      </c>
      <c r="C169" s="5" t="s">
        <v>21</v>
      </c>
    </row>
    <row r="170" spans="1:3" x14ac:dyDescent="0.2">
      <c r="A170" s="5">
        <v>168</v>
      </c>
      <c r="B170" s="5">
        <f t="shared" ca="1" si="2"/>
        <v>0.7277249768741757</v>
      </c>
      <c r="C170" s="5" t="s">
        <v>21</v>
      </c>
    </row>
    <row r="171" spans="1:3" x14ac:dyDescent="0.2">
      <c r="A171" s="5">
        <v>169</v>
      </c>
      <c r="B171" s="5">
        <f t="shared" ca="1" si="2"/>
        <v>0.77277672641011397</v>
      </c>
      <c r="C171" s="5" t="s">
        <v>22</v>
      </c>
    </row>
    <row r="172" spans="1:3" x14ac:dyDescent="0.2">
      <c r="A172" s="5">
        <v>170</v>
      </c>
      <c r="B172" s="5">
        <f t="shared" ca="1" si="2"/>
        <v>0.27820987294597976</v>
      </c>
      <c r="C172" s="5" t="s">
        <v>22</v>
      </c>
    </row>
    <row r="173" spans="1:3" x14ac:dyDescent="0.2">
      <c r="A173" s="5">
        <v>171</v>
      </c>
      <c r="B173" s="5">
        <f t="shared" ca="1" si="2"/>
        <v>0.71154188990977618</v>
      </c>
      <c r="C173" s="5" t="s">
        <v>21</v>
      </c>
    </row>
    <row r="174" spans="1:3" x14ac:dyDescent="0.2">
      <c r="A174" s="5">
        <v>172</v>
      </c>
      <c r="B174" s="5">
        <f t="shared" ca="1" si="2"/>
        <v>0.67578061874856832</v>
      </c>
      <c r="C174" s="5" t="s">
        <v>21</v>
      </c>
    </row>
    <row r="175" spans="1:3" x14ac:dyDescent="0.2">
      <c r="A175" s="5">
        <v>173</v>
      </c>
      <c r="B175" s="5">
        <f t="shared" ca="1" si="2"/>
        <v>0.52792668638297047</v>
      </c>
      <c r="C175" s="5" t="s">
        <v>21</v>
      </c>
    </row>
    <row r="176" spans="1:3" x14ac:dyDescent="0.2">
      <c r="A176" s="5">
        <v>174</v>
      </c>
      <c r="B176" s="5">
        <f t="shared" ca="1" si="2"/>
        <v>0.82249779472519413</v>
      </c>
      <c r="C176" s="5" t="s">
        <v>22</v>
      </c>
    </row>
    <row r="177" spans="1:3" x14ac:dyDescent="0.2">
      <c r="A177" s="5">
        <v>175</v>
      </c>
      <c r="B177" s="5">
        <f t="shared" ca="1" si="2"/>
        <v>0.75007234783712218</v>
      </c>
      <c r="C177" s="5" t="s">
        <v>21</v>
      </c>
    </row>
    <row r="178" spans="1:3" x14ac:dyDescent="0.2">
      <c r="A178" s="5">
        <v>176</v>
      </c>
      <c r="B178" s="5">
        <f t="shared" ca="1" si="2"/>
        <v>0.74135206829600009</v>
      </c>
      <c r="C178" s="5" t="s">
        <v>21</v>
      </c>
    </row>
    <row r="179" spans="1:3" x14ac:dyDescent="0.2">
      <c r="A179" s="5">
        <v>177</v>
      </c>
      <c r="B179" s="5">
        <f t="shared" ca="1" si="2"/>
        <v>0.82829835656836015</v>
      </c>
      <c r="C179" s="5" t="s">
        <v>22</v>
      </c>
    </row>
    <row r="180" spans="1:3" x14ac:dyDescent="0.2">
      <c r="A180" s="5">
        <v>178</v>
      </c>
      <c r="B180" s="5">
        <f t="shared" ca="1" si="2"/>
        <v>0.65981392660889526</v>
      </c>
      <c r="C180" s="5" t="s">
        <v>22</v>
      </c>
    </row>
    <row r="181" spans="1:3" x14ac:dyDescent="0.2">
      <c r="A181" s="5">
        <v>179</v>
      </c>
      <c r="B181" s="5">
        <f t="shared" ca="1" si="2"/>
        <v>0.8898583258333771</v>
      </c>
      <c r="C181" s="5" t="s">
        <v>21</v>
      </c>
    </row>
    <row r="182" spans="1:3" x14ac:dyDescent="0.2">
      <c r="A182" s="5">
        <v>180</v>
      </c>
      <c r="B182" s="5">
        <f t="shared" ca="1" si="2"/>
        <v>0.7518046377853379</v>
      </c>
      <c r="C182" s="5" t="s">
        <v>21</v>
      </c>
    </row>
    <row r="183" spans="1:3" x14ac:dyDescent="0.2">
      <c r="A183" s="5">
        <v>181</v>
      </c>
      <c r="B183" s="5">
        <f t="shared" ca="1" si="2"/>
        <v>0.61690352299839601</v>
      </c>
      <c r="C183" s="5" t="s">
        <v>21</v>
      </c>
    </row>
    <row r="184" spans="1:3" x14ac:dyDescent="0.2">
      <c r="A184" s="5">
        <v>182</v>
      </c>
      <c r="B184" s="5">
        <f t="shared" ca="1" si="2"/>
        <v>0.70043891947691228</v>
      </c>
      <c r="C184" s="5" t="s">
        <v>21</v>
      </c>
    </row>
    <row r="185" spans="1:3" x14ac:dyDescent="0.2">
      <c r="A185" s="5">
        <v>183</v>
      </c>
      <c r="B185" s="5">
        <f t="shared" ca="1" si="2"/>
        <v>0.67751822774522352</v>
      </c>
      <c r="C185" s="5" t="s">
        <v>22</v>
      </c>
    </row>
    <row r="186" spans="1:3" x14ac:dyDescent="0.2">
      <c r="A186" s="5">
        <v>184</v>
      </c>
      <c r="B186" s="5">
        <f t="shared" ca="1" si="2"/>
        <v>0.78726397180405816</v>
      </c>
      <c r="C186" s="5" t="s">
        <v>21</v>
      </c>
    </row>
    <row r="187" spans="1:3" x14ac:dyDescent="0.2">
      <c r="A187" s="5">
        <v>185</v>
      </c>
      <c r="B187" s="5">
        <f t="shared" ca="1" si="2"/>
        <v>0.73083332572599402</v>
      </c>
      <c r="C187" s="5" t="s">
        <v>22</v>
      </c>
    </row>
    <row r="188" spans="1:3" x14ac:dyDescent="0.2">
      <c r="A188" s="5">
        <v>186</v>
      </c>
      <c r="B188" s="5">
        <f t="shared" ca="1" si="2"/>
        <v>0.65712521629581977</v>
      </c>
      <c r="C188" s="5" t="s">
        <v>21</v>
      </c>
    </row>
    <row r="189" spans="1:3" x14ac:dyDescent="0.2">
      <c r="A189" s="5">
        <v>187</v>
      </c>
      <c r="B189" s="5">
        <f t="shared" ca="1" si="2"/>
        <v>0.64214278132119929</v>
      </c>
      <c r="C189" s="5" t="s">
        <v>22</v>
      </c>
    </row>
    <row r="190" spans="1:3" x14ac:dyDescent="0.2">
      <c r="A190" s="5">
        <v>188</v>
      </c>
      <c r="B190" s="5">
        <f t="shared" ca="1" si="2"/>
        <v>0.87294811131046413</v>
      </c>
      <c r="C190" s="5" t="s">
        <v>21</v>
      </c>
    </row>
    <row r="191" spans="1:3" x14ac:dyDescent="0.2">
      <c r="A191" s="5">
        <v>189</v>
      </c>
      <c r="B191" s="5">
        <f t="shared" ca="1" si="2"/>
        <v>0.84992463819922526</v>
      </c>
      <c r="C191" s="5" t="s">
        <v>21</v>
      </c>
    </row>
    <row r="192" spans="1:3" x14ac:dyDescent="0.2">
      <c r="A192" s="5">
        <v>190</v>
      </c>
      <c r="B192" s="5">
        <f t="shared" ca="1" si="2"/>
        <v>0.58218964084821911</v>
      </c>
      <c r="C192" s="5" t="s">
        <v>22</v>
      </c>
    </row>
    <row r="193" spans="1:3" x14ac:dyDescent="0.2">
      <c r="A193" s="5">
        <v>191</v>
      </c>
      <c r="B193" s="5">
        <f t="shared" ca="1" si="2"/>
        <v>0.71632559459695189</v>
      </c>
      <c r="C193" s="5" t="s">
        <v>21</v>
      </c>
    </row>
    <row r="194" spans="1:3" x14ac:dyDescent="0.2">
      <c r="A194" s="5">
        <v>192</v>
      </c>
      <c r="B194" s="5">
        <f t="shared" ca="1" si="2"/>
        <v>0.6585346184040507</v>
      </c>
      <c r="C194" s="5" t="s">
        <v>22</v>
      </c>
    </row>
    <row r="195" spans="1:3" x14ac:dyDescent="0.2">
      <c r="A195" s="5">
        <v>193</v>
      </c>
      <c r="B195" s="5">
        <f t="shared" ca="1" si="2"/>
        <v>0.76210386841988187</v>
      </c>
      <c r="C195" s="5" t="s">
        <v>21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0.60311962583114276</v>
      </c>
      <c r="C196" s="5" t="s">
        <v>22</v>
      </c>
    </row>
    <row r="197" spans="1:3" x14ac:dyDescent="0.2">
      <c r="A197" s="5">
        <v>195</v>
      </c>
      <c r="B197" s="5">
        <f t="shared" ca="1" si="3"/>
        <v>0.48852345288110505</v>
      </c>
      <c r="C197" s="5" t="s">
        <v>22</v>
      </c>
    </row>
    <row r="198" spans="1:3" x14ac:dyDescent="0.2">
      <c r="A198" s="5">
        <v>196</v>
      </c>
      <c r="B198" s="5">
        <f t="shared" ca="1" si="3"/>
        <v>0.8054723420761295</v>
      </c>
      <c r="C198" s="5" t="s">
        <v>21</v>
      </c>
    </row>
    <row r="199" spans="1:3" x14ac:dyDescent="0.2">
      <c r="A199" s="5">
        <v>197</v>
      </c>
      <c r="B199" s="5">
        <f t="shared" ca="1" si="3"/>
        <v>0.68533382049648561</v>
      </c>
      <c r="C199" s="5" t="s">
        <v>22</v>
      </c>
    </row>
    <row r="200" spans="1:3" x14ac:dyDescent="0.2">
      <c r="A200" s="5">
        <v>198</v>
      </c>
      <c r="B200" s="5">
        <f t="shared" ca="1" si="3"/>
        <v>0.73525459289550987</v>
      </c>
      <c r="C200" s="5" t="s">
        <v>21</v>
      </c>
    </row>
    <row r="201" spans="1:3" x14ac:dyDescent="0.2">
      <c r="A201" s="5">
        <v>199</v>
      </c>
      <c r="B201" s="5">
        <f t="shared" ca="1" si="3"/>
        <v>0.73060783318063616</v>
      </c>
      <c r="C201" s="5" t="s">
        <v>22</v>
      </c>
    </row>
    <row r="202" spans="1:3" x14ac:dyDescent="0.2">
      <c r="A202" s="5">
        <v>200</v>
      </c>
      <c r="B202" s="5">
        <f t="shared" ca="1" si="3"/>
        <v>0.84440754446138766</v>
      </c>
      <c r="C202" s="5" t="s">
        <v>21</v>
      </c>
    </row>
    <row r="203" spans="1:3" x14ac:dyDescent="0.2">
      <c r="A203" s="5">
        <v>201</v>
      </c>
      <c r="B203" s="5">
        <f t="shared" ca="1" si="3"/>
        <v>0.60470147177217304</v>
      </c>
      <c r="C203" s="5" t="s">
        <v>22</v>
      </c>
    </row>
    <row r="204" spans="1:3" x14ac:dyDescent="0.2">
      <c r="A204" s="5">
        <v>202</v>
      </c>
      <c r="B204" s="5">
        <f t="shared" ca="1" si="3"/>
        <v>0.67941344681714033</v>
      </c>
      <c r="C204" s="5" t="s">
        <v>21</v>
      </c>
    </row>
    <row r="205" spans="1:3" x14ac:dyDescent="0.2">
      <c r="A205" s="5">
        <v>203</v>
      </c>
      <c r="B205" s="5">
        <f t="shared" ca="1" si="3"/>
        <v>0.4298899281869567</v>
      </c>
      <c r="C205" s="5" t="s">
        <v>22</v>
      </c>
    </row>
    <row r="206" spans="1:3" x14ac:dyDescent="0.2">
      <c r="A206" s="5">
        <v>204</v>
      </c>
      <c r="B206" s="5">
        <f t="shared" ca="1" si="3"/>
        <v>0.37662769494051007</v>
      </c>
      <c r="C206" s="5" t="s">
        <v>22</v>
      </c>
    </row>
    <row r="207" spans="1:3" x14ac:dyDescent="0.2">
      <c r="A207" s="5">
        <v>205</v>
      </c>
      <c r="B207" s="5">
        <f t="shared" ca="1" si="3"/>
        <v>0.5242253838522547</v>
      </c>
      <c r="C207" s="5" t="s">
        <v>22</v>
      </c>
    </row>
    <row r="208" spans="1:3" x14ac:dyDescent="0.2">
      <c r="A208" s="5">
        <v>206</v>
      </c>
      <c r="B208" s="5">
        <f t="shared" ca="1" si="3"/>
        <v>0.61629309471617677</v>
      </c>
      <c r="C208" s="5" t="s">
        <v>21</v>
      </c>
    </row>
    <row r="209" spans="1:3" x14ac:dyDescent="0.2">
      <c r="A209" s="5">
        <v>207</v>
      </c>
      <c r="B209" s="5">
        <f t="shared" ca="1" si="3"/>
        <v>0.50760257023509681</v>
      </c>
      <c r="C209" s="5" t="s">
        <v>21</v>
      </c>
    </row>
    <row r="210" spans="1:3" x14ac:dyDescent="0.2">
      <c r="A210" s="5">
        <v>208</v>
      </c>
      <c r="B210" s="5">
        <f t="shared" ca="1" si="3"/>
        <v>0.65161871097149626</v>
      </c>
      <c r="C210" s="5" t="s">
        <v>21</v>
      </c>
    </row>
    <row r="211" spans="1:3" x14ac:dyDescent="0.2">
      <c r="A211" s="5">
        <v>209</v>
      </c>
      <c r="B211" s="5">
        <f t="shared" ca="1" si="3"/>
        <v>0.88854519095341344</v>
      </c>
      <c r="C211" s="5" t="s">
        <v>22</v>
      </c>
    </row>
    <row r="212" spans="1:3" x14ac:dyDescent="0.2">
      <c r="A212" s="5">
        <v>210</v>
      </c>
      <c r="B212" s="5">
        <f t="shared" ca="1" si="3"/>
        <v>0.77144493155504479</v>
      </c>
      <c r="C212" s="5" t="s">
        <v>22</v>
      </c>
    </row>
    <row r="213" spans="1:3" x14ac:dyDescent="0.2">
      <c r="A213" s="5">
        <v>211</v>
      </c>
      <c r="B213" s="5">
        <f t="shared" ca="1" si="3"/>
        <v>0.4990841600250937</v>
      </c>
      <c r="C213" s="5" t="s">
        <v>22</v>
      </c>
    </row>
    <row r="214" spans="1:3" x14ac:dyDescent="0.2">
      <c r="A214" s="5">
        <v>212</v>
      </c>
      <c r="B214" s="5">
        <f t="shared" ca="1" si="3"/>
        <v>0.48015136325277924</v>
      </c>
      <c r="C214" s="5" t="s">
        <v>22</v>
      </c>
    </row>
    <row r="215" spans="1:3" x14ac:dyDescent="0.2">
      <c r="A215" s="5">
        <v>213</v>
      </c>
      <c r="B215" s="5">
        <f t="shared" ca="1" si="3"/>
        <v>0.62924984174426224</v>
      </c>
      <c r="C215" s="5" t="s">
        <v>22</v>
      </c>
    </row>
    <row r="216" spans="1:3" x14ac:dyDescent="0.2">
      <c r="A216" s="5">
        <v>214</v>
      </c>
      <c r="B216" s="5">
        <f t="shared" ca="1" si="3"/>
        <v>0.56453104530831799</v>
      </c>
      <c r="C216" s="5" t="s">
        <v>22</v>
      </c>
    </row>
    <row r="217" spans="1:3" x14ac:dyDescent="0.2">
      <c r="A217" s="5">
        <v>215</v>
      </c>
      <c r="B217" s="5">
        <f t="shared" ca="1" si="3"/>
        <v>0.70119904019195534</v>
      </c>
      <c r="C217" s="5" t="s">
        <v>21</v>
      </c>
    </row>
    <row r="218" spans="1:3" x14ac:dyDescent="0.2">
      <c r="A218" s="5">
        <v>216</v>
      </c>
      <c r="B218" s="5">
        <f t="shared" ca="1" si="3"/>
        <v>0.7240805471492352</v>
      </c>
      <c r="C218" s="5" t="s">
        <v>21</v>
      </c>
    </row>
    <row r="219" spans="1:3" x14ac:dyDescent="0.2">
      <c r="A219" s="5">
        <v>217</v>
      </c>
      <c r="B219" s="5">
        <f t="shared" ca="1" si="3"/>
        <v>0.70863011052010849</v>
      </c>
      <c r="C219" s="5" t="s">
        <v>21</v>
      </c>
    </row>
    <row r="220" spans="1:3" x14ac:dyDescent="0.2">
      <c r="A220" s="5">
        <v>218</v>
      </c>
      <c r="B220" s="5">
        <f t="shared" ca="1" si="3"/>
        <v>0.81086596927034615</v>
      </c>
      <c r="C220" s="5" t="s">
        <v>22</v>
      </c>
    </row>
    <row r="221" spans="1:3" x14ac:dyDescent="0.2">
      <c r="A221" s="5">
        <v>219</v>
      </c>
      <c r="B221" s="5">
        <f t="shared" ca="1" si="3"/>
        <v>0.81680933220832974</v>
      </c>
      <c r="C221" s="5" t="s">
        <v>21</v>
      </c>
    </row>
    <row r="222" spans="1:3" x14ac:dyDescent="0.2">
      <c r="A222" s="5">
        <v>220</v>
      </c>
      <c r="B222" s="5">
        <f t="shared" ca="1" si="3"/>
        <v>0.79421926603247439</v>
      </c>
      <c r="C222" s="5" t="s">
        <v>22</v>
      </c>
    </row>
    <row r="223" spans="1:3" x14ac:dyDescent="0.2">
      <c r="A223" s="5">
        <v>221</v>
      </c>
      <c r="B223" s="5">
        <f t="shared" ca="1" si="3"/>
        <v>0.72892963755061468</v>
      </c>
      <c r="C223" s="5" t="s">
        <v>21</v>
      </c>
    </row>
    <row r="224" spans="1:3" x14ac:dyDescent="0.2">
      <c r="A224" s="5">
        <v>222</v>
      </c>
      <c r="B224" s="5">
        <f t="shared" ca="1" si="3"/>
        <v>0.74553643149673832</v>
      </c>
      <c r="C224" s="5" t="s">
        <v>21</v>
      </c>
    </row>
    <row r="225" spans="1:3" x14ac:dyDescent="0.2">
      <c r="A225" s="5">
        <v>223</v>
      </c>
      <c r="B225" s="5">
        <f t="shared" ca="1" si="3"/>
        <v>0.79407928908852443</v>
      </c>
      <c r="C225" s="5" t="s">
        <v>22</v>
      </c>
    </row>
    <row r="226" spans="1:3" x14ac:dyDescent="0.2">
      <c r="A226" s="5">
        <v>224</v>
      </c>
      <c r="B226" s="5">
        <f t="shared" ca="1" si="3"/>
        <v>0.34827952289711972</v>
      </c>
      <c r="C226" s="5" t="s">
        <v>22</v>
      </c>
    </row>
    <row r="227" spans="1:3" x14ac:dyDescent="0.2">
      <c r="A227" s="5">
        <v>225</v>
      </c>
      <c r="B227" s="5">
        <f t="shared" ca="1" si="3"/>
        <v>0.97158782851847603</v>
      </c>
      <c r="C227" s="5" t="s">
        <v>21</v>
      </c>
    </row>
    <row r="228" spans="1:3" x14ac:dyDescent="0.2">
      <c r="A228" s="5">
        <v>226</v>
      </c>
      <c r="B228" s="5">
        <f t="shared" ca="1" si="3"/>
        <v>0.52414073027704455</v>
      </c>
      <c r="C228" s="5" t="s">
        <v>22</v>
      </c>
    </row>
    <row r="229" spans="1:3" x14ac:dyDescent="0.2">
      <c r="A229" s="5">
        <v>227</v>
      </c>
      <c r="B229" s="5">
        <f t="shared" ca="1" si="3"/>
        <v>0.82962794809884077</v>
      </c>
      <c r="C229" s="5" t="s">
        <v>22</v>
      </c>
    </row>
    <row r="230" spans="1:3" x14ac:dyDescent="0.2">
      <c r="A230" s="5">
        <v>228</v>
      </c>
      <c r="B230" s="5">
        <f t="shared" ca="1" si="3"/>
        <v>0.76333352226707352</v>
      </c>
      <c r="C230" s="5" t="s">
        <v>22</v>
      </c>
    </row>
    <row r="231" spans="1:3" x14ac:dyDescent="0.2">
      <c r="A231" s="5">
        <v>229</v>
      </c>
      <c r="B231" s="5">
        <f t="shared" ca="1" si="3"/>
        <v>0.6547237073680986</v>
      </c>
      <c r="C231" s="5" t="s">
        <v>22</v>
      </c>
    </row>
    <row r="232" spans="1:3" x14ac:dyDescent="0.2">
      <c r="A232" s="5">
        <v>230</v>
      </c>
      <c r="B232" s="5">
        <f t="shared" ca="1" si="3"/>
        <v>0.83541449886369523</v>
      </c>
      <c r="C232" s="5" t="s">
        <v>21</v>
      </c>
    </row>
    <row r="233" spans="1:3" x14ac:dyDescent="0.2">
      <c r="A233" s="5">
        <v>231</v>
      </c>
      <c r="B233" s="5">
        <f t="shared" ca="1" si="3"/>
        <v>0.56088562750593518</v>
      </c>
      <c r="C233" s="5" t="s">
        <v>21</v>
      </c>
    </row>
    <row r="234" spans="1:3" x14ac:dyDescent="0.2">
      <c r="A234" s="5">
        <v>232</v>
      </c>
      <c r="B234" s="5">
        <f t="shared" ca="1" si="3"/>
        <v>0.5282754033849032</v>
      </c>
      <c r="C234" s="5" t="s">
        <v>22</v>
      </c>
    </row>
    <row r="235" spans="1:3" x14ac:dyDescent="0.2">
      <c r="A235" s="5">
        <v>233</v>
      </c>
      <c r="B235" s="5">
        <f t="shared" ca="1" si="3"/>
        <v>0.57552772086273873</v>
      </c>
      <c r="C235" s="5" t="s">
        <v>22</v>
      </c>
    </row>
    <row r="236" spans="1:3" x14ac:dyDescent="0.2">
      <c r="A236" s="5">
        <v>234</v>
      </c>
      <c r="B236" s="5">
        <f t="shared" ca="1" si="3"/>
        <v>0.66187125183907036</v>
      </c>
      <c r="C236" s="5" t="s">
        <v>21</v>
      </c>
    </row>
    <row r="237" spans="1:3" x14ac:dyDescent="0.2">
      <c r="A237" s="5">
        <v>235</v>
      </c>
      <c r="B237" s="5">
        <f t="shared" ca="1" si="3"/>
        <v>0.80106835821614764</v>
      </c>
      <c r="C237" s="5" t="s">
        <v>22</v>
      </c>
    </row>
    <row r="238" spans="1:3" x14ac:dyDescent="0.2">
      <c r="A238" s="5">
        <v>236</v>
      </c>
      <c r="B238" s="5">
        <f t="shared" ca="1" si="3"/>
        <v>0.87903547974546958</v>
      </c>
      <c r="C238" s="5" t="s">
        <v>21</v>
      </c>
    </row>
    <row r="239" spans="1:3" x14ac:dyDescent="0.2">
      <c r="A239" s="5">
        <v>237</v>
      </c>
      <c r="B239" s="5">
        <f t="shared" ca="1" si="3"/>
        <v>0.72919329236758224</v>
      </c>
      <c r="C239" s="5" t="s">
        <v>22</v>
      </c>
    </row>
    <row r="240" spans="1:3" x14ac:dyDescent="0.2">
      <c r="A240" s="5">
        <v>238</v>
      </c>
      <c r="B240" s="5">
        <f t="shared" ca="1" si="3"/>
        <v>0.62116061695933034</v>
      </c>
      <c r="C240" s="5" t="s">
        <v>21</v>
      </c>
    </row>
    <row r="241" spans="1:3" x14ac:dyDescent="0.2">
      <c r="A241" s="5">
        <v>239</v>
      </c>
      <c r="B241" s="5">
        <f t="shared" ca="1" si="3"/>
        <v>0.57475640729481736</v>
      </c>
      <c r="C241" s="5" t="s">
        <v>22</v>
      </c>
    </row>
    <row r="242" spans="1:3" x14ac:dyDescent="0.2">
      <c r="A242" s="5">
        <v>240</v>
      </c>
      <c r="B242" s="5">
        <f t="shared" ca="1" si="3"/>
        <v>0.73240553783494977</v>
      </c>
      <c r="C242" s="5" t="s">
        <v>22</v>
      </c>
    </row>
    <row r="243" spans="1:3" x14ac:dyDescent="0.2">
      <c r="A243" s="5">
        <v>241</v>
      </c>
      <c r="B243" s="5">
        <f t="shared" ca="1" si="3"/>
        <v>0.81481021182821733</v>
      </c>
      <c r="C243" s="5" t="s">
        <v>21</v>
      </c>
    </row>
    <row r="244" spans="1:3" x14ac:dyDescent="0.2">
      <c r="A244" s="5">
        <v>242</v>
      </c>
      <c r="B244" s="5">
        <f t="shared" ca="1" si="3"/>
        <v>0.47815747354933058</v>
      </c>
      <c r="C244" s="5" t="s">
        <v>21</v>
      </c>
    </row>
    <row r="245" spans="1:3" x14ac:dyDescent="0.2">
      <c r="A245" s="5">
        <v>243</v>
      </c>
      <c r="B245" s="5">
        <f t="shared" ca="1" si="3"/>
        <v>0.6019451636721812</v>
      </c>
      <c r="C245" s="5" t="s">
        <v>21</v>
      </c>
    </row>
    <row r="246" spans="1:3" x14ac:dyDescent="0.2">
      <c r="A246" s="5">
        <v>244</v>
      </c>
      <c r="B246" s="5">
        <f t="shared" ca="1" si="3"/>
        <v>0.79079121498133365</v>
      </c>
      <c r="C246" s="5" t="s">
        <v>22</v>
      </c>
    </row>
    <row r="247" spans="1:3" x14ac:dyDescent="0.2">
      <c r="A247" s="5">
        <v>245</v>
      </c>
      <c r="B247" s="5">
        <f t="shared" ca="1" si="3"/>
        <v>0.89540440178415159</v>
      </c>
      <c r="C247" s="5" t="s">
        <v>21</v>
      </c>
    </row>
    <row r="248" spans="1:3" x14ac:dyDescent="0.2">
      <c r="A248" s="5">
        <v>246</v>
      </c>
      <c r="B248" s="5">
        <f t="shared" ca="1" si="3"/>
        <v>0.79729101597253071</v>
      </c>
      <c r="C248" s="5" t="s">
        <v>21</v>
      </c>
    </row>
    <row r="249" spans="1:3" x14ac:dyDescent="0.2">
      <c r="A249" s="5">
        <v>247</v>
      </c>
      <c r="B249" s="5">
        <f t="shared" ca="1" si="3"/>
        <v>0.74365309912831168</v>
      </c>
      <c r="C249" s="5" t="s">
        <v>22</v>
      </c>
    </row>
    <row r="250" spans="1:3" x14ac:dyDescent="0.2">
      <c r="A250" s="5">
        <v>248</v>
      </c>
      <c r="B250" s="5">
        <f t="shared" ca="1" si="3"/>
        <v>0.83641290894323994</v>
      </c>
      <c r="C250" s="5" t="s">
        <v>21</v>
      </c>
    </row>
    <row r="251" spans="1:3" x14ac:dyDescent="0.2">
      <c r="A251" s="5">
        <v>249</v>
      </c>
      <c r="B251" s="5">
        <f t="shared" ca="1" si="3"/>
        <v>0.62299199154726104</v>
      </c>
      <c r="C251" s="5" t="s">
        <v>22</v>
      </c>
    </row>
    <row r="252" spans="1:3" x14ac:dyDescent="0.2">
      <c r="A252" s="5">
        <v>250</v>
      </c>
      <c r="B252" s="5">
        <f t="shared" ca="1" si="3"/>
        <v>0.7814646810702145</v>
      </c>
      <c r="C252" s="5" t="s">
        <v>21</v>
      </c>
    </row>
    <row r="253" spans="1:3" x14ac:dyDescent="0.2">
      <c r="A253" s="5">
        <v>251</v>
      </c>
      <c r="B253" s="5">
        <f t="shared" ca="1" si="3"/>
        <v>0.53634155253201843</v>
      </c>
      <c r="C253" s="5" t="s">
        <v>22</v>
      </c>
    </row>
    <row r="254" spans="1:3" x14ac:dyDescent="0.2">
      <c r="A254" s="5">
        <v>252</v>
      </c>
      <c r="B254" s="5">
        <f t="shared" ca="1" si="3"/>
        <v>0.64500150120051891</v>
      </c>
      <c r="C254" s="5" t="s">
        <v>21</v>
      </c>
    </row>
    <row r="255" spans="1:3" x14ac:dyDescent="0.2">
      <c r="A255" s="5">
        <v>253</v>
      </c>
      <c r="B255" s="5">
        <f t="shared" ca="1" si="3"/>
        <v>0.83813487631779393</v>
      </c>
      <c r="C255" s="5" t="s">
        <v>21</v>
      </c>
    </row>
    <row r="256" spans="1:3" x14ac:dyDescent="0.2">
      <c r="A256" s="5">
        <v>254</v>
      </c>
      <c r="B256" s="5">
        <f t="shared" ca="1" si="3"/>
        <v>0.74617274971621705</v>
      </c>
      <c r="C256" s="5" t="s">
        <v>21</v>
      </c>
    </row>
    <row r="257" spans="1:3" x14ac:dyDescent="0.2">
      <c r="A257" s="5">
        <v>255</v>
      </c>
      <c r="B257" s="5">
        <f t="shared" ca="1" si="3"/>
        <v>0.29440647307571849</v>
      </c>
      <c r="C257" s="5" t="s">
        <v>22</v>
      </c>
    </row>
    <row r="258" spans="1:3" x14ac:dyDescent="0.2">
      <c r="A258" s="5">
        <v>256</v>
      </c>
      <c r="B258" s="5">
        <f t="shared" ca="1" si="3"/>
        <v>0.91766264479351289</v>
      </c>
      <c r="C258" s="5" t="s">
        <v>22</v>
      </c>
    </row>
    <row r="259" spans="1:3" x14ac:dyDescent="0.2">
      <c r="A259" s="5">
        <v>257</v>
      </c>
      <c r="B259" s="5">
        <f t="shared" ca="1" si="3"/>
        <v>0.47748478987358817</v>
      </c>
      <c r="C259" s="5" t="s">
        <v>22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0.66902448744698306</v>
      </c>
      <c r="C260" s="5" t="s">
        <v>22</v>
      </c>
    </row>
    <row r="261" spans="1:3" x14ac:dyDescent="0.2">
      <c r="A261" s="5">
        <v>259</v>
      </c>
      <c r="B261" s="5">
        <f t="shared" ca="1" si="4"/>
        <v>0.43485372993716248</v>
      </c>
      <c r="C261" s="5" t="s">
        <v>22</v>
      </c>
    </row>
    <row r="262" spans="1:3" x14ac:dyDescent="0.2">
      <c r="A262" s="5">
        <v>260</v>
      </c>
      <c r="B262" s="5">
        <f t="shared" ca="1" si="4"/>
        <v>0.65030762431099831</v>
      </c>
      <c r="C262" s="5" t="s">
        <v>21</v>
      </c>
    </row>
    <row r="263" spans="1:3" x14ac:dyDescent="0.2">
      <c r="A263" s="5">
        <v>261</v>
      </c>
      <c r="B263" s="5">
        <f t="shared" ca="1" si="4"/>
        <v>0.79920137823313608</v>
      </c>
      <c r="C263" s="5" t="s">
        <v>21</v>
      </c>
    </row>
    <row r="264" spans="1:3" x14ac:dyDescent="0.2">
      <c r="A264" s="5">
        <v>262</v>
      </c>
      <c r="B264" s="5">
        <f t="shared" ca="1" si="4"/>
        <v>0.78985161538205917</v>
      </c>
      <c r="C264" s="5" t="s">
        <v>21</v>
      </c>
    </row>
    <row r="265" spans="1:3" x14ac:dyDescent="0.2">
      <c r="A265" s="5">
        <v>263</v>
      </c>
      <c r="B265" s="5">
        <f t="shared" ca="1" si="4"/>
        <v>0.62823516222838693</v>
      </c>
      <c r="C265" s="5" t="s">
        <v>21</v>
      </c>
    </row>
    <row r="266" spans="1:3" x14ac:dyDescent="0.2">
      <c r="A266" s="5">
        <v>264</v>
      </c>
      <c r="B266" s="5">
        <f t="shared" ca="1" si="4"/>
        <v>0.46789893041677644</v>
      </c>
      <c r="C266" s="5" t="s">
        <v>22</v>
      </c>
    </row>
    <row r="267" spans="1:3" x14ac:dyDescent="0.2">
      <c r="A267" s="5">
        <v>265</v>
      </c>
      <c r="B267" s="5">
        <f t="shared" ca="1" si="4"/>
        <v>0.73308968239048866</v>
      </c>
      <c r="C267" s="5" t="s">
        <v>21</v>
      </c>
    </row>
    <row r="268" spans="1:3" x14ac:dyDescent="0.2">
      <c r="A268" s="5">
        <v>266</v>
      </c>
      <c r="B268" s="5">
        <f t="shared" ca="1" si="4"/>
        <v>0.7227939898424155</v>
      </c>
      <c r="C268" s="5" t="s">
        <v>21</v>
      </c>
    </row>
    <row r="269" spans="1:3" x14ac:dyDescent="0.2">
      <c r="A269" s="5">
        <v>267</v>
      </c>
      <c r="B269" s="5">
        <f t="shared" ca="1" si="4"/>
        <v>0.74553459759256002</v>
      </c>
      <c r="C269" s="5" t="s">
        <v>22</v>
      </c>
    </row>
    <row r="270" spans="1:3" x14ac:dyDescent="0.2">
      <c r="A270" s="5">
        <v>268</v>
      </c>
      <c r="B270" s="5">
        <f t="shared" ca="1" si="4"/>
        <v>0.73922663884981687</v>
      </c>
      <c r="C270" s="5" t="s">
        <v>22</v>
      </c>
    </row>
    <row r="271" spans="1:3" x14ac:dyDescent="0.2">
      <c r="A271" s="5">
        <v>269</v>
      </c>
      <c r="B271" s="5">
        <f t="shared" ca="1" si="4"/>
        <v>0.61284957046948496</v>
      </c>
      <c r="C271" s="5" t="s">
        <v>21</v>
      </c>
    </row>
    <row r="272" spans="1:3" x14ac:dyDescent="0.2">
      <c r="A272" s="5">
        <v>270</v>
      </c>
      <c r="B272" s="5">
        <f t="shared" ca="1" si="4"/>
        <v>0.70863874355506618</v>
      </c>
      <c r="C272" s="5" t="s">
        <v>21</v>
      </c>
    </row>
    <row r="273" spans="1:3" x14ac:dyDescent="0.2">
      <c r="A273" s="5">
        <v>271</v>
      </c>
      <c r="B273" s="5">
        <f t="shared" ca="1" si="4"/>
        <v>0.86888443244689428</v>
      </c>
      <c r="C273" s="5" t="s">
        <v>22</v>
      </c>
    </row>
    <row r="274" spans="1:3" x14ac:dyDescent="0.2">
      <c r="A274" s="5">
        <v>272</v>
      </c>
      <c r="B274" s="5">
        <f t="shared" ca="1" si="4"/>
        <v>0.79373008609411899</v>
      </c>
      <c r="C274" s="5" t="s">
        <v>22</v>
      </c>
    </row>
    <row r="275" spans="1:3" x14ac:dyDescent="0.2">
      <c r="A275" s="5">
        <v>273</v>
      </c>
      <c r="B275" s="5">
        <f t="shared" ca="1" si="4"/>
        <v>0.61257930345288547</v>
      </c>
      <c r="C275" s="5" t="s">
        <v>21</v>
      </c>
    </row>
    <row r="276" spans="1:3" x14ac:dyDescent="0.2">
      <c r="A276" s="5">
        <v>274</v>
      </c>
      <c r="B276" s="5">
        <f t="shared" ca="1" si="4"/>
        <v>0.71910269264719662</v>
      </c>
      <c r="C276" s="5" t="s">
        <v>22</v>
      </c>
    </row>
    <row r="277" spans="1:3" x14ac:dyDescent="0.2">
      <c r="A277" s="5">
        <v>275</v>
      </c>
      <c r="B277" s="5">
        <f t="shared" ca="1" si="4"/>
        <v>0.82687367912368503</v>
      </c>
      <c r="C277" s="5" t="s">
        <v>22</v>
      </c>
    </row>
    <row r="278" spans="1:3" x14ac:dyDescent="0.2">
      <c r="A278" s="5">
        <v>276</v>
      </c>
      <c r="B278" s="5">
        <f t="shared" ca="1" si="4"/>
        <v>0.68804365092675801</v>
      </c>
      <c r="C278" s="5" t="s">
        <v>21</v>
      </c>
    </row>
    <row r="279" spans="1:3" x14ac:dyDescent="0.2">
      <c r="A279" s="5">
        <v>277</v>
      </c>
      <c r="B279" s="5">
        <f t="shared" ca="1" si="4"/>
        <v>0.78102625432117723</v>
      </c>
      <c r="C279" s="5" t="s">
        <v>21</v>
      </c>
    </row>
    <row r="280" spans="1:3" x14ac:dyDescent="0.2">
      <c r="A280" s="5">
        <v>278</v>
      </c>
      <c r="B280" s="5">
        <f t="shared" ca="1" si="4"/>
        <v>0.52208593619373267</v>
      </c>
      <c r="C280" s="5" t="s">
        <v>22</v>
      </c>
    </row>
    <row r="281" spans="1:3" x14ac:dyDescent="0.2">
      <c r="A281" s="5">
        <v>279</v>
      </c>
      <c r="B281" s="5">
        <f t="shared" ca="1" si="4"/>
        <v>0.54694695982576447</v>
      </c>
      <c r="C281" s="5" t="s">
        <v>22</v>
      </c>
    </row>
    <row r="282" spans="1:3" x14ac:dyDescent="0.2">
      <c r="A282" s="5">
        <v>280</v>
      </c>
      <c r="B282" s="5">
        <f t="shared" ca="1" si="4"/>
        <v>0.85784210363337632</v>
      </c>
      <c r="C282" s="5" t="s">
        <v>22</v>
      </c>
    </row>
    <row r="283" spans="1:3" x14ac:dyDescent="0.2">
      <c r="A283" s="5">
        <v>281</v>
      </c>
      <c r="B283" s="5">
        <f t="shared" ca="1" si="4"/>
        <v>0.71738990978739825</v>
      </c>
      <c r="C283" s="5" t="s">
        <v>22</v>
      </c>
    </row>
    <row r="284" spans="1:3" x14ac:dyDescent="0.2">
      <c r="A284" s="5">
        <v>282</v>
      </c>
      <c r="B284" s="5">
        <f t="shared" ca="1" si="4"/>
        <v>0.6152050058206493</v>
      </c>
      <c r="C284" s="5" t="s">
        <v>21</v>
      </c>
    </row>
    <row r="285" spans="1:3" x14ac:dyDescent="0.2">
      <c r="A285" s="5">
        <v>283</v>
      </c>
      <c r="B285" s="5">
        <f t="shared" ca="1" si="4"/>
        <v>0.71283627982457065</v>
      </c>
      <c r="C285" s="5" t="s">
        <v>21</v>
      </c>
    </row>
    <row r="286" spans="1:3" x14ac:dyDescent="0.2">
      <c r="A286" s="5">
        <v>284</v>
      </c>
      <c r="B286" s="5">
        <f t="shared" ca="1" si="4"/>
        <v>0.77985464928477</v>
      </c>
      <c r="C286" s="5" t="s">
        <v>21</v>
      </c>
    </row>
    <row r="287" spans="1:3" x14ac:dyDescent="0.2">
      <c r="A287" s="5">
        <v>285</v>
      </c>
      <c r="B287" s="5">
        <f t="shared" ca="1" si="4"/>
        <v>0.65968289308040506</v>
      </c>
      <c r="C287" s="5" t="s">
        <v>22</v>
      </c>
    </row>
    <row r="288" spans="1:3" x14ac:dyDescent="0.2">
      <c r="A288" s="5">
        <v>286</v>
      </c>
      <c r="B288" s="5">
        <f t="shared" ca="1" si="4"/>
        <v>0.86390451885575181</v>
      </c>
      <c r="C288" s="5" t="s">
        <v>21</v>
      </c>
    </row>
    <row r="289" spans="1:3" x14ac:dyDescent="0.2">
      <c r="A289" s="5">
        <v>287</v>
      </c>
      <c r="B289" s="5">
        <f t="shared" ca="1" si="4"/>
        <v>0.61589884195815048</v>
      </c>
      <c r="C289" s="5" t="s">
        <v>21</v>
      </c>
    </row>
    <row r="290" spans="1:3" x14ac:dyDescent="0.2">
      <c r="A290" s="5">
        <v>288</v>
      </c>
      <c r="B290" s="5">
        <f t="shared" ca="1" si="4"/>
        <v>0.664985058302341</v>
      </c>
      <c r="C290" s="5" t="s">
        <v>21</v>
      </c>
    </row>
    <row r="291" spans="1:3" x14ac:dyDescent="0.2">
      <c r="A291" s="5">
        <v>289</v>
      </c>
      <c r="B291" s="5">
        <f t="shared" ca="1" si="4"/>
        <v>0.93246556179257523</v>
      </c>
      <c r="C291" s="5" t="s">
        <v>21</v>
      </c>
    </row>
    <row r="292" spans="1:3" x14ac:dyDescent="0.2">
      <c r="A292" s="5">
        <v>290</v>
      </c>
      <c r="B292" s="5">
        <f t="shared" ca="1" si="4"/>
        <v>0.7299970696207897</v>
      </c>
      <c r="C292" s="5" t="s">
        <v>22</v>
      </c>
    </row>
    <row r="293" spans="1:3" x14ac:dyDescent="0.2">
      <c r="A293" s="5">
        <v>291</v>
      </c>
      <c r="B293" s="5">
        <f t="shared" ca="1" si="4"/>
        <v>0.67545503951167474</v>
      </c>
      <c r="C293" s="5" t="s">
        <v>21</v>
      </c>
    </row>
    <row r="294" spans="1:3" x14ac:dyDescent="0.2">
      <c r="A294" s="5">
        <v>292</v>
      </c>
      <c r="B294" s="5">
        <f t="shared" ca="1" si="4"/>
        <v>0.73985105596346556</v>
      </c>
      <c r="C294" s="5" t="s">
        <v>22</v>
      </c>
    </row>
    <row r="295" spans="1:3" x14ac:dyDescent="0.2">
      <c r="A295" s="5">
        <v>293</v>
      </c>
      <c r="B295" s="5">
        <f t="shared" ca="1" si="4"/>
        <v>0.72025950048279264</v>
      </c>
      <c r="C295" s="5" t="s">
        <v>21</v>
      </c>
    </row>
    <row r="296" spans="1:3" x14ac:dyDescent="0.2">
      <c r="A296" s="5">
        <v>294</v>
      </c>
      <c r="B296" s="5">
        <f t="shared" ca="1" si="4"/>
        <v>0.55673183382833202</v>
      </c>
      <c r="C296" s="5" t="s">
        <v>22</v>
      </c>
    </row>
    <row r="297" spans="1:3" x14ac:dyDescent="0.2">
      <c r="A297" s="5">
        <v>295</v>
      </c>
      <c r="B297" s="5">
        <f t="shared" ca="1" si="4"/>
        <v>0.61636132639760655</v>
      </c>
      <c r="C297" s="5" t="s">
        <v>22</v>
      </c>
    </row>
    <row r="298" spans="1:3" x14ac:dyDescent="0.2">
      <c r="A298" s="5">
        <v>296</v>
      </c>
      <c r="B298" s="5">
        <f t="shared" ca="1" si="4"/>
        <v>0.68642568698241602</v>
      </c>
      <c r="C298" s="5" t="s">
        <v>21</v>
      </c>
    </row>
    <row r="299" spans="1:3" x14ac:dyDescent="0.2">
      <c r="A299" s="5">
        <v>297</v>
      </c>
      <c r="B299" s="5">
        <f t="shared" ca="1" si="4"/>
        <v>0.58630279932390716</v>
      </c>
      <c r="C299" s="5" t="s">
        <v>21</v>
      </c>
    </row>
    <row r="300" spans="1:3" x14ac:dyDescent="0.2">
      <c r="A300" s="5">
        <v>298</v>
      </c>
      <c r="B300" s="5">
        <f t="shared" ca="1" si="4"/>
        <v>0.63087760397242632</v>
      </c>
      <c r="C300" s="5" t="s">
        <v>22</v>
      </c>
    </row>
    <row r="301" spans="1:3" x14ac:dyDescent="0.2">
      <c r="A301" s="5">
        <v>299</v>
      </c>
      <c r="B301" s="5">
        <f t="shared" ca="1" si="4"/>
        <v>0.5703304882075364</v>
      </c>
      <c r="C301" s="5" t="s">
        <v>21</v>
      </c>
    </row>
    <row r="302" spans="1:3" x14ac:dyDescent="0.2">
      <c r="A302" s="5">
        <v>300</v>
      </c>
      <c r="B302" s="5">
        <f t="shared" ca="1" si="4"/>
        <v>0.76197907908356299</v>
      </c>
      <c r="C302" s="5" t="s">
        <v>21</v>
      </c>
    </row>
    <row r="303" spans="1:3" x14ac:dyDescent="0.2">
      <c r="A303" s="5">
        <v>301</v>
      </c>
      <c r="B303" s="5">
        <f t="shared" ca="1" si="4"/>
        <v>0.51141644051249391</v>
      </c>
      <c r="C303" s="5" t="s">
        <v>21</v>
      </c>
    </row>
    <row r="304" spans="1:3" x14ac:dyDescent="0.2">
      <c r="A304" s="5">
        <v>302</v>
      </c>
      <c r="B304" s="5">
        <f t="shared" ca="1" si="4"/>
        <v>0.74644871387493406</v>
      </c>
      <c r="C304" s="5" t="s">
        <v>21</v>
      </c>
    </row>
    <row r="305" spans="1:3" x14ac:dyDescent="0.2">
      <c r="A305" s="5">
        <v>303</v>
      </c>
      <c r="B305" s="5">
        <f t="shared" ca="1" si="4"/>
        <v>0.77692189668537948</v>
      </c>
      <c r="C305" s="5" t="s">
        <v>21</v>
      </c>
    </row>
    <row r="306" spans="1:3" x14ac:dyDescent="0.2">
      <c r="A306" s="5">
        <v>304</v>
      </c>
      <c r="B306" s="5">
        <f t="shared" ca="1" si="4"/>
        <v>0.62342157520377472</v>
      </c>
      <c r="C306" s="5" t="s">
        <v>21</v>
      </c>
    </row>
    <row r="307" spans="1:3" x14ac:dyDescent="0.2">
      <c r="A307" s="5">
        <v>305</v>
      </c>
      <c r="B307" s="5">
        <f t="shared" ca="1" si="4"/>
        <v>0.6464781093356412</v>
      </c>
      <c r="C307" s="5" t="s">
        <v>22</v>
      </c>
    </row>
    <row r="308" spans="1:3" x14ac:dyDescent="0.2">
      <c r="A308" s="5">
        <v>306</v>
      </c>
      <c r="B308" s="5">
        <f t="shared" ca="1" si="4"/>
        <v>0.88211614100135938</v>
      </c>
      <c r="C308" s="5" t="s">
        <v>21</v>
      </c>
    </row>
    <row r="309" spans="1:3" x14ac:dyDescent="0.2">
      <c r="A309" s="5">
        <v>307</v>
      </c>
      <c r="B309" s="5">
        <f t="shared" ca="1" si="4"/>
        <v>0.51623467060202777</v>
      </c>
      <c r="C309" s="5" t="s">
        <v>22</v>
      </c>
    </row>
    <row r="310" spans="1:3" x14ac:dyDescent="0.2">
      <c r="A310" s="5">
        <v>308</v>
      </c>
      <c r="B310" s="5">
        <f t="shared" ca="1" si="4"/>
        <v>0.73980362349997564</v>
      </c>
      <c r="C310" s="5" t="s">
        <v>21</v>
      </c>
    </row>
    <row r="311" spans="1:3" x14ac:dyDescent="0.2">
      <c r="A311" s="5">
        <v>309</v>
      </c>
      <c r="B311" s="5">
        <f t="shared" ca="1" si="4"/>
        <v>0.84219549000011151</v>
      </c>
      <c r="C311" s="5" t="s">
        <v>21</v>
      </c>
    </row>
    <row r="312" spans="1:3" x14ac:dyDescent="0.2">
      <c r="A312" s="5">
        <v>310</v>
      </c>
      <c r="B312" s="5">
        <f t="shared" ca="1" si="4"/>
        <v>0.52446639350516722</v>
      </c>
      <c r="C312" s="5" t="s">
        <v>22</v>
      </c>
    </row>
    <row r="313" spans="1:3" x14ac:dyDescent="0.2">
      <c r="A313" s="5">
        <v>311</v>
      </c>
      <c r="B313" s="5">
        <f t="shared" ca="1" si="4"/>
        <v>0.64178235870226807</v>
      </c>
      <c r="C313" s="5" t="s">
        <v>21</v>
      </c>
    </row>
    <row r="314" spans="1:3" x14ac:dyDescent="0.2">
      <c r="A314" s="5">
        <v>312</v>
      </c>
      <c r="B314" s="5">
        <f t="shared" ca="1" si="4"/>
        <v>0.80457869539441851</v>
      </c>
      <c r="C314" s="5" t="s">
        <v>21</v>
      </c>
    </row>
    <row r="315" spans="1:3" x14ac:dyDescent="0.2">
      <c r="A315" s="5">
        <v>313</v>
      </c>
      <c r="B315" s="5">
        <f t="shared" ca="1" si="4"/>
        <v>0.34898324963384525</v>
      </c>
      <c r="C315" s="5" t="s">
        <v>22</v>
      </c>
    </row>
    <row r="316" spans="1:3" x14ac:dyDescent="0.2">
      <c r="A316" s="5">
        <v>314</v>
      </c>
      <c r="B316" s="5">
        <f t="shared" ca="1" si="4"/>
        <v>0.70041439790595672</v>
      </c>
      <c r="C316" s="5" t="s">
        <v>22</v>
      </c>
    </row>
    <row r="317" spans="1:3" x14ac:dyDescent="0.2">
      <c r="A317" s="5">
        <v>315</v>
      </c>
      <c r="B317" s="5">
        <f t="shared" ca="1" si="4"/>
        <v>0.73822156698653008</v>
      </c>
      <c r="C317" s="5" t="s">
        <v>21</v>
      </c>
    </row>
    <row r="318" spans="1:3" x14ac:dyDescent="0.2">
      <c r="A318" s="5">
        <v>316</v>
      </c>
      <c r="B318" s="5">
        <f t="shared" ca="1" si="4"/>
        <v>0.58721937808062463</v>
      </c>
      <c r="C318" s="5" t="s">
        <v>21</v>
      </c>
    </row>
    <row r="319" spans="1:3" x14ac:dyDescent="0.2">
      <c r="A319" s="5">
        <v>317</v>
      </c>
      <c r="B319" s="5">
        <f t="shared" ca="1" si="4"/>
        <v>0.27045103134568788</v>
      </c>
      <c r="C319" s="5" t="s">
        <v>22</v>
      </c>
    </row>
    <row r="320" spans="1:3" x14ac:dyDescent="0.2">
      <c r="A320" s="5">
        <v>318</v>
      </c>
      <c r="B320" s="5">
        <f t="shared" ca="1" si="4"/>
        <v>0.65456952115471323</v>
      </c>
      <c r="C320" s="5" t="s">
        <v>21</v>
      </c>
    </row>
    <row r="321" spans="1:3" x14ac:dyDescent="0.2">
      <c r="A321" s="5">
        <v>319</v>
      </c>
      <c r="B321" s="5">
        <f t="shared" ca="1" si="4"/>
        <v>0.7852635235468165</v>
      </c>
      <c r="C321" s="5" t="s">
        <v>22</v>
      </c>
    </row>
    <row r="322" spans="1:3" x14ac:dyDescent="0.2">
      <c r="A322" s="5">
        <v>320</v>
      </c>
      <c r="B322" s="5">
        <f t="shared" ca="1" si="4"/>
        <v>0.52513504787356247</v>
      </c>
      <c r="C322" s="5" t="s">
        <v>22</v>
      </c>
    </row>
    <row r="323" spans="1:3" x14ac:dyDescent="0.2">
      <c r="A323" s="5">
        <v>321</v>
      </c>
      <c r="B323" s="5">
        <f t="shared" ca="1" si="4"/>
        <v>0.63703281195436057</v>
      </c>
      <c r="C323" s="5" t="s">
        <v>21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0.81337032190074676</v>
      </c>
      <c r="C324" s="5" t="s">
        <v>21</v>
      </c>
    </row>
    <row r="325" spans="1:3" x14ac:dyDescent="0.2">
      <c r="A325" s="5">
        <v>323</v>
      </c>
      <c r="B325" s="5">
        <f t="shared" ca="1" si="5"/>
        <v>0.68086172251029353</v>
      </c>
      <c r="C325" s="5" t="s">
        <v>21</v>
      </c>
    </row>
    <row r="326" spans="1:3" x14ac:dyDescent="0.2">
      <c r="A326" s="5">
        <v>324</v>
      </c>
      <c r="B326" s="5">
        <f t="shared" ca="1" si="5"/>
        <v>0.46481401147100765</v>
      </c>
      <c r="C326" s="5" t="s">
        <v>22</v>
      </c>
    </row>
    <row r="327" spans="1:3" x14ac:dyDescent="0.2">
      <c r="A327" s="5">
        <v>325</v>
      </c>
      <c r="B327" s="5">
        <f t="shared" ca="1" si="5"/>
        <v>0.46794745514335578</v>
      </c>
      <c r="C327" s="5" t="s">
        <v>22</v>
      </c>
    </row>
    <row r="328" spans="1:3" x14ac:dyDescent="0.2">
      <c r="A328" s="5">
        <v>326</v>
      </c>
      <c r="B328" s="5">
        <f t="shared" ca="1" si="5"/>
        <v>0.79142700085794382</v>
      </c>
      <c r="C328" s="5" t="s">
        <v>21</v>
      </c>
    </row>
    <row r="329" spans="1:3" x14ac:dyDescent="0.2">
      <c r="A329" s="5">
        <v>327</v>
      </c>
      <c r="B329" s="5">
        <f t="shared" ca="1" si="5"/>
        <v>0.59591280662494117</v>
      </c>
      <c r="C329" s="5" t="s">
        <v>22</v>
      </c>
    </row>
    <row r="330" spans="1:3" x14ac:dyDescent="0.2">
      <c r="A330" s="5">
        <v>328</v>
      </c>
      <c r="B330" s="5">
        <f t="shared" ca="1" si="5"/>
        <v>0.6713135278534087</v>
      </c>
      <c r="C330" s="5" t="s">
        <v>22</v>
      </c>
    </row>
    <row r="331" spans="1:3" x14ac:dyDescent="0.2">
      <c r="A331" s="5">
        <v>329</v>
      </c>
      <c r="B331" s="5">
        <f t="shared" ca="1" si="5"/>
        <v>0.54776673477222693</v>
      </c>
      <c r="C331" s="5" t="s">
        <v>21</v>
      </c>
    </row>
    <row r="332" spans="1:3" x14ac:dyDescent="0.2">
      <c r="A332" s="5">
        <v>330</v>
      </c>
      <c r="B332" s="5">
        <f t="shared" ca="1" si="5"/>
        <v>0.69858747263667265</v>
      </c>
      <c r="C332" s="5" t="s">
        <v>22</v>
      </c>
    </row>
    <row r="333" spans="1:3" x14ac:dyDescent="0.2">
      <c r="A333" s="5">
        <v>331</v>
      </c>
      <c r="B333" s="5">
        <f t="shared" ca="1" si="5"/>
        <v>0.646512640496823</v>
      </c>
      <c r="C333" s="5" t="s">
        <v>22</v>
      </c>
    </row>
    <row r="334" spans="1:3" x14ac:dyDescent="0.2">
      <c r="A334" s="5">
        <v>332</v>
      </c>
      <c r="B334" s="5">
        <f t="shared" ca="1" si="5"/>
        <v>0.44109843582058827</v>
      </c>
      <c r="C334" s="5" t="s">
        <v>21</v>
      </c>
    </row>
    <row r="335" spans="1:3" x14ac:dyDescent="0.2">
      <c r="A335" s="5">
        <v>333</v>
      </c>
      <c r="B335" s="5">
        <f t="shared" ca="1" si="5"/>
        <v>0.57611283908529398</v>
      </c>
      <c r="C335" s="5" t="s">
        <v>22</v>
      </c>
    </row>
    <row r="336" spans="1:3" x14ac:dyDescent="0.2">
      <c r="A336" s="5">
        <v>334</v>
      </c>
      <c r="B336" s="5">
        <f t="shared" ca="1" si="5"/>
        <v>0.60322097411247599</v>
      </c>
      <c r="C336" s="5" t="s">
        <v>22</v>
      </c>
    </row>
    <row r="337" spans="1:3" x14ac:dyDescent="0.2">
      <c r="A337" s="5">
        <v>335</v>
      </c>
      <c r="B337" s="5">
        <f t="shared" ca="1" si="5"/>
        <v>0.64885911421662423</v>
      </c>
      <c r="C337" s="5" t="s">
        <v>22</v>
      </c>
    </row>
    <row r="338" spans="1:3" x14ac:dyDescent="0.2">
      <c r="A338" s="5">
        <v>336</v>
      </c>
      <c r="B338" s="5">
        <f t="shared" ca="1" si="5"/>
        <v>0.66275216594067909</v>
      </c>
      <c r="C338" s="5" t="s">
        <v>21</v>
      </c>
    </row>
    <row r="339" spans="1:3" x14ac:dyDescent="0.2">
      <c r="A339" s="5">
        <v>337</v>
      </c>
      <c r="B339" s="5">
        <f t="shared" ca="1" si="5"/>
        <v>0.83069228864105504</v>
      </c>
      <c r="C339" s="5" t="s">
        <v>21</v>
      </c>
    </row>
    <row r="340" spans="1:3" x14ac:dyDescent="0.2">
      <c r="A340" s="5">
        <v>338</v>
      </c>
      <c r="B340" s="5">
        <f t="shared" ca="1" si="5"/>
        <v>0.67456399500532227</v>
      </c>
      <c r="C340" s="5" t="s">
        <v>21</v>
      </c>
    </row>
    <row r="341" spans="1:3" x14ac:dyDescent="0.2">
      <c r="A341" s="5">
        <v>339</v>
      </c>
      <c r="B341" s="5">
        <f t="shared" ca="1" si="5"/>
        <v>0.5808704940400361</v>
      </c>
      <c r="C341" s="5" t="s">
        <v>22</v>
      </c>
    </row>
    <row r="342" spans="1:3" x14ac:dyDescent="0.2">
      <c r="A342" s="5">
        <v>340</v>
      </c>
      <c r="B342" s="5">
        <f t="shared" ca="1" si="5"/>
        <v>0.58977821313887935</v>
      </c>
      <c r="C342" s="5" t="s">
        <v>22</v>
      </c>
    </row>
    <row r="343" spans="1:3" x14ac:dyDescent="0.2">
      <c r="A343" s="5">
        <v>341</v>
      </c>
      <c r="B343" s="5">
        <f t="shared" ca="1" si="5"/>
        <v>0.81234476165964697</v>
      </c>
      <c r="C343" s="5" t="s">
        <v>22</v>
      </c>
    </row>
    <row r="344" spans="1:3" x14ac:dyDescent="0.2">
      <c r="A344" s="5">
        <v>342</v>
      </c>
      <c r="B344" s="5">
        <f t="shared" ca="1" si="5"/>
        <v>0.59619262947431861</v>
      </c>
      <c r="C344" s="5" t="s">
        <v>22</v>
      </c>
    </row>
    <row r="345" spans="1:3" x14ac:dyDescent="0.2">
      <c r="A345" s="5">
        <v>343</v>
      </c>
      <c r="B345" s="5">
        <f t="shared" ca="1" si="5"/>
        <v>0.72003164022042165</v>
      </c>
      <c r="C345" s="5" t="s">
        <v>21</v>
      </c>
    </row>
    <row r="346" spans="1:3" x14ac:dyDescent="0.2">
      <c r="A346" s="5">
        <v>344</v>
      </c>
      <c r="B346" s="5">
        <f t="shared" ca="1" si="5"/>
        <v>0.7399744214214885</v>
      </c>
      <c r="C346" s="5" t="s">
        <v>21</v>
      </c>
    </row>
    <row r="347" spans="1:3" x14ac:dyDescent="0.2">
      <c r="A347" s="5">
        <v>345</v>
      </c>
      <c r="B347" s="5">
        <f t="shared" ca="1" si="5"/>
        <v>0.56639674911124116</v>
      </c>
      <c r="C347" s="5" t="s">
        <v>22</v>
      </c>
    </row>
    <row r="348" spans="1:3" x14ac:dyDescent="0.2">
      <c r="A348" s="5">
        <v>346</v>
      </c>
      <c r="B348" s="5">
        <f t="shared" ca="1" si="5"/>
        <v>0.54769154945716303</v>
      </c>
      <c r="C348" s="5" t="s">
        <v>21</v>
      </c>
    </row>
    <row r="349" spans="1:3" x14ac:dyDescent="0.2">
      <c r="A349" s="5">
        <v>347</v>
      </c>
      <c r="B349" s="5">
        <f t="shared" ca="1" si="5"/>
        <v>0.6157247413996747</v>
      </c>
      <c r="C349" s="5" t="s">
        <v>22</v>
      </c>
    </row>
    <row r="350" spans="1:3" x14ac:dyDescent="0.2">
      <c r="A350" s="5">
        <v>348</v>
      </c>
      <c r="B350" s="5">
        <f t="shared" ca="1" si="5"/>
        <v>0.68214521048863119</v>
      </c>
      <c r="C350" s="5" t="s">
        <v>21</v>
      </c>
    </row>
    <row r="351" spans="1:3" x14ac:dyDescent="0.2">
      <c r="A351" s="5">
        <v>349</v>
      </c>
      <c r="B351" s="5">
        <f t="shared" ca="1" si="5"/>
        <v>0.68651021539787083</v>
      </c>
      <c r="C351" s="5" t="s">
        <v>21</v>
      </c>
    </row>
    <row r="352" spans="1:3" x14ac:dyDescent="0.2">
      <c r="A352" s="5">
        <v>350</v>
      </c>
      <c r="B352" s="5">
        <f t="shared" ca="1" si="5"/>
        <v>0.62646367998258967</v>
      </c>
      <c r="C352" s="5" t="s">
        <v>22</v>
      </c>
    </row>
    <row r="353" spans="1:3" x14ac:dyDescent="0.2">
      <c r="A353" s="5">
        <v>351</v>
      </c>
      <c r="B353" s="5">
        <f t="shared" ca="1" si="5"/>
        <v>0.547859240707532</v>
      </c>
      <c r="C353" s="5" t="s">
        <v>22</v>
      </c>
    </row>
    <row r="354" spans="1:3" x14ac:dyDescent="0.2">
      <c r="A354" s="5">
        <v>352</v>
      </c>
      <c r="B354" s="5">
        <f t="shared" ca="1" si="5"/>
        <v>0.45670059846004746</v>
      </c>
      <c r="C354" s="5" t="s">
        <v>22</v>
      </c>
    </row>
    <row r="355" spans="1:3" x14ac:dyDescent="0.2">
      <c r="A355" s="5">
        <v>353</v>
      </c>
      <c r="B355" s="5">
        <f t="shared" ca="1" si="5"/>
        <v>0.58796582103977313</v>
      </c>
      <c r="C355" s="5" t="s">
        <v>21</v>
      </c>
    </row>
    <row r="356" spans="1:3" x14ac:dyDescent="0.2">
      <c r="A356" s="5">
        <v>354</v>
      </c>
      <c r="B356" s="5">
        <f t="shared" ca="1" si="5"/>
        <v>0.51823165873285992</v>
      </c>
      <c r="C356" s="5" t="s">
        <v>21</v>
      </c>
    </row>
    <row r="357" spans="1:3" x14ac:dyDescent="0.2">
      <c r="A357" s="5">
        <v>355</v>
      </c>
      <c r="B357" s="5">
        <f t="shared" ca="1" si="5"/>
        <v>0.69659093986081067</v>
      </c>
      <c r="C357" s="5" t="s">
        <v>21</v>
      </c>
    </row>
    <row r="358" spans="1:3" x14ac:dyDescent="0.2">
      <c r="A358" s="5">
        <v>356</v>
      </c>
      <c r="B358" s="5">
        <f t="shared" ca="1" si="5"/>
        <v>0.697564876771125</v>
      </c>
      <c r="C358" s="5" t="s">
        <v>21</v>
      </c>
    </row>
    <row r="359" spans="1:3" x14ac:dyDescent="0.2">
      <c r="A359" s="5">
        <v>357</v>
      </c>
      <c r="B359" s="5">
        <f t="shared" ca="1" si="5"/>
        <v>0.58586884954115304</v>
      </c>
      <c r="C359" s="5" t="s">
        <v>22</v>
      </c>
    </row>
    <row r="360" spans="1:3" x14ac:dyDescent="0.2">
      <c r="A360" s="5">
        <v>358</v>
      </c>
      <c r="B360" s="5">
        <f t="shared" ca="1" si="5"/>
        <v>0.6506162502474292</v>
      </c>
      <c r="C360" s="5" t="s">
        <v>21</v>
      </c>
    </row>
    <row r="361" spans="1:3" x14ac:dyDescent="0.2">
      <c r="A361" s="5">
        <v>359</v>
      </c>
      <c r="B361" s="5">
        <f t="shared" ca="1" si="5"/>
        <v>0.48827743959504255</v>
      </c>
      <c r="C361" s="5" t="s">
        <v>22</v>
      </c>
    </row>
    <row r="362" spans="1:3" x14ac:dyDescent="0.2">
      <c r="A362" s="5">
        <v>360</v>
      </c>
      <c r="B362" s="5">
        <f t="shared" ca="1" si="5"/>
        <v>0.65024401711580782</v>
      </c>
      <c r="C362" s="5" t="s">
        <v>22</v>
      </c>
    </row>
    <row r="363" spans="1:3" x14ac:dyDescent="0.2">
      <c r="A363" s="5">
        <v>361</v>
      </c>
      <c r="B363" s="5">
        <f t="shared" ca="1" si="5"/>
        <v>0.68810264737068472</v>
      </c>
      <c r="C363" s="5" t="s">
        <v>21</v>
      </c>
    </row>
    <row r="364" spans="1:3" x14ac:dyDescent="0.2">
      <c r="A364" s="5">
        <v>362</v>
      </c>
      <c r="B364" s="5">
        <f t="shared" ca="1" si="5"/>
        <v>0.68122050008235291</v>
      </c>
      <c r="C364" s="5" t="s">
        <v>21</v>
      </c>
    </row>
    <row r="365" spans="1:3" x14ac:dyDescent="0.2">
      <c r="A365" s="5">
        <v>363</v>
      </c>
      <c r="B365" s="5">
        <f t="shared" ca="1" si="5"/>
        <v>0.46266744219164319</v>
      </c>
      <c r="C365" s="5" t="s">
        <v>22</v>
      </c>
    </row>
    <row r="366" spans="1:3" x14ac:dyDescent="0.2">
      <c r="A366" s="5">
        <v>364</v>
      </c>
      <c r="B366" s="5">
        <f t="shared" ca="1" si="5"/>
        <v>0.69349175729438373</v>
      </c>
      <c r="C366" s="5" t="s">
        <v>21</v>
      </c>
    </row>
    <row r="367" spans="1:3" x14ac:dyDescent="0.2">
      <c r="A367" s="5">
        <v>365</v>
      </c>
      <c r="B367" s="5">
        <f t="shared" ca="1" si="5"/>
        <v>0.65750374751882701</v>
      </c>
      <c r="C367" s="5" t="s">
        <v>22</v>
      </c>
    </row>
    <row r="368" spans="1:3" x14ac:dyDescent="0.2">
      <c r="A368" s="5">
        <v>366</v>
      </c>
      <c r="B368" s="5">
        <f t="shared" ca="1" si="5"/>
        <v>0.31740789002827674</v>
      </c>
      <c r="C368" s="5" t="s">
        <v>22</v>
      </c>
    </row>
    <row r="369" spans="1:3" x14ac:dyDescent="0.2">
      <c r="A369" s="5">
        <v>367</v>
      </c>
      <c r="B369" s="5">
        <f t="shared" ca="1" si="5"/>
        <v>0.97114289594876324</v>
      </c>
      <c r="C369" s="5" t="s">
        <v>21</v>
      </c>
    </row>
    <row r="370" spans="1:3" x14ac:dyDescent="0.2">
      <c r="A370" s="5">
        <v>368</v>
      </c>
      <c r="B370" s="5">
        <f t="shared" ca="1" si="5"/>
        <v>0.48855952657756829</v>
      </c>
      <c r="C370" s="5" t="s">
        <v>21</v>
      </c>
    </row>
    <row r="371" spans="1:3" x14ac:dyDescent="0.2">
      <c r="A371" s="5">
        <v>369</v>
      </c>
      <c r="B371" s="5">
        <f t="shared" ca="1" si="5"/>
        <v>0.5585607489908665</v>
      </c>
      <c r="C371" s="5" t="s">
        <v>22</v>
      </c>
    </row>
    <row r="372" spans="1:3" x14ac:dyDescent="0.2">
      <c r="A372" s="5">
        <v>370</v>
      </c>
      <c r="B372" s="5">
        <f t="shared" ca="1" si="5"/>
        <v>0.64092805333557423</v>
      </c>
      <c r="C372" s="5" t="s">
        <v>21</v>
      </c>
    </row>
    <row r="373" spans="1:3" x14ac:dyDescent="0.2">
      <c r="A373" s="5">
        <v>371</v>
      </c>
      <c r="B373" s="5">
        <f t="shared" ca="1" si="5"/>
        <v>0.60088385201860395</v>
      </c>
      <c r="C373" s="5" t="s">
        <v>21</v>
      </c>
    </row>
    <row r="374" spans="1:3" x14ac:dyDescent="0.2">
      <c r="A374" s="5">
        <v>372</v>
      </c>
      <c r="B374" s="5">
        <f t="shared" ca="1" si="5"/>
        <v>0.33750256827536113</v>
      </c>
      <c r="C374" s="5" t="s">
        <v>22</v>
      </c>
    </row>
    <row r="375" spans="1:3" x14ac:dyDescent="0.2">
      <c r="A375" s="5">
        <v>373</v>
      </c>
      <c r="B375" s="5">
        <f t="shared" ca="1" si="5"/>
        <v>0.73872897988258357</v>
      </c>
      <c r="C375" s="5" t="s">
        <v>21</v>
      </c>
    </row>
    <row r="376" spans="1:3" x14ac:dyDescent="0.2">
      <c r="A376" s="5">
        <v>374</v>
      </c>
      <c r="B376" s="5">
        <f t="shared" ca="1" si="5"/>
        <v>0.61870764528540056</v>
      </c>
      <c r="C376" s="5" t="s">
        <v>21</v>
      </c>
    </row>
    <row r="377" spans="1:3" x14ac:dyDescent="0.2">
      <c r="A377" s="5">
        <v>375</v>
      </c>
      <c r="B377" s="5">
        <f t="shared" ca="1" si="5"/>
        <v>0.49959348524084335</v>
      </c>
      <c r="C377" s="5" t="s">
        <v>22</v>
      </c>
    </row>
    <row r="378" spans="1:3" x14ac:dyDescent="0.2">
      <c r="A378" s="5">
        <v>376</v>
      </c>
      <c r="B378" s="5">
        <f t="shared" ca="1" si="5"/>
        <v>0.75658667805961288</v>
      </c>
      <c r="C378" s="5" t="s">
        <v>21</v>
      </c>
    </row>
    <row r="379" spans="1:3" x14ac:dyDescent="0.2">
      <c r="A379" s="5">
        <v>377</v>
      </c>
      <c r="B379" s="5">
        <f t="shared" ca="1" si="5"/>
        <v>0.62886648623006425</v>
      </c>
      <c r="C379" s="5" t="s">
        <v>21</v>
      </c>
    </row>
    <row r="380" spans="1:3" x14ac:dyDescent="0.2">
      <c r="A380" s="5">
        <v>378</v>
      </c>
      <c r="B380" s="5">
        <f t="shared" ca="1" si="5"/>
        <v>0.77615589814067221</v>
      </c>
      <c r="C380" s="5" t="s">
        <v>21</v>
      </c>
    </row>
    <row r="381" spans="1:3" x14ac:dyDescent="0.2">
      <c r="A381" s="5">
        <v>379</v>
      </c>
      <c r="B381" s="5">
        <f t="shared" ca="1" si="5"/>
        <v>0.68141431361563387</v>
      </c>
      <c r="C381" s="5" t="s">
        <v>21</v>
      </c>
    </row>
    <row r="382" spans="1:3" x14ac:dyDescent="0.2">
      <c r="A382" s="5">
        <v>380</v>
      </c>
      <c r="B382" s="5">
        <f t="shared" ca="1" si="5"/>
        <v>0.69027885293295843</v>
      </c>
      <c r="C382" s="5" t="s">
        <v>21</v>
      </c>
    </row>
    <row r="383" spans="1:3" x14ac:dyDescent="0.2">
      <c r="A383" s="5">
        <v>381</v>
      </c>
      <c r="B383" s="5">
        <f t="shared" ca="1" si="5"/>
        <v>0.75574205971701736</v>
      </c>
      <c r="C383" s="5" t="s">
        <v>21</v>
      </c>
    </row>
    <row r="384" spans="1:3" x14ac:dyDescent="0.2">
      <c r="A384" s="5">
        <v>382</v>
      </c>
      <c r="B384" s="5">
        <f t="shared" ca="1" si="5"/>
        <v>0.71089510248819232</v>
      </c>
      <c r="C384" s="5" t="s">
        <v>21</v>
      </c>
    </row>
    <row r="385" spans="1:3" x14ac:dyDescent="0.2">
      <c r="A385" s="5">
        <v>383</v>
      </c>
      <c r="B385" s="5">
        <f t="shared" ca="1" si="5"/>
        <v>0.70631255092798084</v>
      </c>
      <c r="C385" s="5" t="s">
        <v>22</v>
      </c>
    </row>
    <row r="386" spans="1:3" x14ac:dyDescent="0.2">
      <c r="A386" s="5">
        <v>384</v>
      </c>
      <c r="B386" s="5">
        <f t="shared" ca="1" si="5"/>
        <v>0.78538499808104112</v>
      </c>
      <c r="C386" s="5" t="s">
        <v>21</v>
      </c>
    </row>
    <row r="387" spans="1:3" x14ac:dyDescent="0.2">
      <c r="A387" s="5">
        <v>385</v>
      </c>
      <c r="B387" s="5">
        <f t="shared" ca="1" si="5"/>
        <v>0.32182454914305741</v>
      </c>
      <c r="C387" s="5" t="s">
        <v>22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0.41593637468918909</v>
      </c>
      <c r="C388" s="5" t="s">
        <v>22</v>
      </c>
    </row>
    <row r="389" spans="1:3" x14ac:dyDescent="0.2">
      <c r="A389" s="5">
        <v>387</v>
      </c>
      <c r="B389" s="5">
        <f t="shared" ca="1" si="6"/>
        <v>0.72767741394790075</v>
      </c>
      <c r="C389" s="5" t="s">
        <v>22</v>
      </c>
    </row>
    <row r="390" spans="1:3" x14ac:dyDescent="0.2">
      <c r="A390" s="5">
        <v>388</v>
      </c>
      <c r="B390" s="5">
        <f t="shared" ca="1" si="6"/>
        <v>0.45527471227756705</v>
      </c>
      <c r="C390" s="5" t="s">
        <v>22</v>
      </c>
    </row>
    <row r="391" spans="1:3" x14ac:dyDescent="0.2">
      <c r="A391" s="5">
        <v>389</v>
      </c>
      <c r="B391" s="5">
        <f t="shared" ca="1" si="6"/>
        <v>0.53354708679888763</v>
      </c>
      <c r="C391" s="5" t="s">
        <v>22</v>
      </c>
    </row>
    <row r="392" spans="1:3" x14ac:dyDescent="0.2">
      <c r="A392" s="5">
        <v>390</v>
      </c>
      <c r="B392" s="5">
        <f t="shared" ca="1" si="6"/>
        <v>0.65924728610181793</v>
      </c>
      <c r="C392" s="5" t="s">
        <v>21</v>
      </c>
    </row>
    <row r="393" spans="1:3" x14ac:dyDescent="0.2">
      <c r="A393" s="5">
        <v>391</v>
      </c>
      <c r="B393" s="5">
        <f t="shared" ca="1" si="6"/>
        <v>0.70572006214248983</v>
      </c>
      <c r="C393" s="5" t="s">
        <v>21</v>
      </c>
    </row>
    <row r="394" spans="1:3" x14ac:dyDescent="0.2">
      <c r="A394" s="5">
        <v>392</v>
      </c>
      <c r="B394" s="5">
        <f t="shared" ca="1" si="6"/>
        <v>0.40699088823412433</v>
      </c>
      <c r="C394" s="5" t="s">
        <v>22</v>
      </c>
    </row>
    <row r="395" spans="1:3" x14ac:dyDescent="0.2">
      <c r="A395" s="5">
        <v>393</v>
      </c>
      <c r="B395" s="5">
        <f t="shared" ca="1" si="6"/>
        <v>0.48024748597113714</v>
      </c>
      <c r="C395" s="5" t="s">
        <v>22</v>
      </c>
    </row>
    <row r="396" spans="1:3" x14ac:dyDescent="0.2">
      <c r="A396" s="5">
        <v>394</v>
      </c>
      <c r="B396" s="5">
        <f t="shared" ca="1" si="6"/>
        <v>0.69672010331734935</v>
      </c>
      <c r="C396" s="5" t="s">
        <v>22</v>
      </c>
    </row>
    <row r="397" spans="1:3" x14ac:dyDescent="0.2">
      <c r="A397" s="5">
        <v>395</v>
      </c>
      <c r="B397" s="5">
        <f t="shared" ca="1" si="6"/>
        <v>0.76802187739314631</v>
      </c>
      <c r="C397" s="5" t="s">
        <v>21</v>
      </c>
    </row>
    <row r="398" spans="1:3" x14ac:dyDescent="0.2">
      <c r="A398" s="5">
        <v>396</v>
      </c>
      <c r="B398" s="5">
        <f t="shared" ca="1" si="6"/>
        <v>0.62600510081932048</v>
      </c>
      <c r="C398" s="5" t="s">
        <v>21</v>
      </c>
    </row>
    <row r="399" spans="1:3" x14ac:dyDescent="0.2">
      <c r="A399" s="5">
        <v>397</v>
      </c>
      <c r="B399" s="5">
        <f t="shared" ca="1" si="6"/>
        <v>0.59958164161486949</v>
      </c>
      <c r="C399" s="5" t="s">
        <v>22</v>
      </c>
    </row>
    <row r="400" spans="1:3" x14ac:dyDescent="0.2">
      <c r="A400" s="5">
        <v>398</v>
      </c>
      <c r="B400" s="5">
        <f t="shared" ca="1" si="6"/>
        <v>0.66683361071245195</v>
      </c>
      <c r="C400" s="5" t="s">
        <v>21</v>
      </c>
    </row>
    <row r="401" spans="1:3" x14ac:dyDescent="0.2">
      <c r="A401" s="5">
        <v>399</v>
      </c>
      <c r="B401" s="5">
        <f t="shared" ca="1" si="6"/>
        <v>0.79769163573951118</v>
      </c>
      <c r="C401" s="5" t="s">
        <v>22</v>
      </c>
    </row>
    <row r="402" spans="1:3" x14ac:dyDescent="0.2">
      <c r="A402" s="5">
        <v>400</v>
      </c>
      <c r="B402" s="5">
        <f t="shared" ca="1" si="6"/>
        <v>0.62530129485985597</v>
      </c>
      <c r="C402" s="5" t="s">
        <v>21</v>
      </c>
    </row>
    <row r="403" spans="1:3" x14ac:dyDescent="0.2">
      <c r="A403" s="5">
        <v>401</v>
      </c>
      <c r="B403" s="5">
        <f t="shared" ca="1" si="6"/>
        <v>0.67963680203910803</v>
      </c>
      <c r="C403" s="5" t="s">
        <v>22</v>
      </c>
    </row>
    <row r="404" spans="1:3" x14ac:dyDescent="0.2">
      <c r="A404" s="5">
        <v>402</v>
      </c>
      <c r="B404" s="5">
        <f t="shared" ca="1" si="6"/>
        <v>0.62422365597397689</v>
      </c>
      <c r="C404" s="5" t="s">
        <v>22</v>
      </c>
    </row>
    <row r="405" spans="1:3" x14ac:dyDescent="0.2">
      <c r="A405" s="5">
        <v>403</v>
      </c>
      <c r="B405" s="5">
        <f t="shared" ca="1" si="6"/>
        <v>0.64102854441733748</v>
      </c>
      <c r="C405" s="5" t="s">
        <v>22</v>
      </c>
    </row>
    <row r="406" spans="1:3" x14ac:dyDescent="0.2">
      <c r="A406" s="5">
        <v>404</v>
      </c>
      <c r="B406" s="5">
        <f t="shared" ca="1" si="6"/>
        <v>0.53027997753216505</v>
      </c>
      <c r="C406" s="5" t="s">
        <v>21</v>
      </c>
    </row>
    <row r="407" spans="1:3" x14ac:dyDescent="0.2">
      <c r="A407" s="5">
        <v>405</v>
      </c>
      <c r="B407" s="5">
        <f t="shared" ca="1" si="6"/>
        <v>0.63234212516807542</v>
      </c>
      <c r="C407" s="5" t="s">
        <v>21</v>
      </c>
    </row>
    <row r="408" spans="1:3" x14ac:dyDescent="0.2">
      <c r="A408" s="5">
        <v>406</v>
      </c>
      <c r="B408" s="5">
        <f t="shared" ca="1" si="6"/>
        <v>0.38036205382083987</v>
      </c>
      <c r="C408" s="5" t="s">
        <v>22</v>
      </c>
    </row>
    <row r="409" spans="1:3" x14ac:dyDescent="0.2">
      <c r="A409" s="5">
        <v>407</v>
      </c>
      <c r="B409" s="5">
        <f t="shared" ca="1" si="6"/>
        <v>0.38226818223561188</v>
      </c>
      <c r="C409" s="5" t="s">
        <v>22</v>
      </c>
    </row>
    <row r="410" spans="1:3" x14ac:dyDescent="0.2">
      <c r="A410" s="5">
        <v>408</v>
      </c>
      <c r="B410" s="5">
        <f t="shared" ca="1" si="6"/>
        <v>0.57259026294778992</v>
      </c>
      <c r="C410" s="5" t="s">
        <v>21</v>
      </c>
    </row>
    <row r="411" spans="1:3" x14ac:dyDescent="0.2">
      <c r="A411" s="5">
        <v>409</v>
      </c>
      <c r="B411" s="5">
        <f t="shared" ca="1" si="6"/>
        <v>0.86579313897999566</v>
      </c>
      <c r="C411" s="5" t="s">
        <v>21</v>
      </c>
    </row>
    <row r="412" spans="1:3" x14ac:dyDescent="0.2">
      <c r="A412" s="5">
        <v>410</v>
      </c>
      <c r="B412" s="5">
        <f t="shared" ca="1" si="6"/>
        <v>0.6419291067662356</v>
      </c>
      <c r="C412" s="5" t="s">
        <v>21</v>
      </c>
    </row>
    <row r="413" spans="1:3" x14ac:dyDescent="0.2">
      <c r="A413" s="5">
        <v>411</v>
      </c>
      <c r="B413" s="5">
        <f t="shared" ca="1" si="6"/>
        <v>0.83552513881028756</v>
      </c>
      <c r="C413" s="5" t="s">
        <v>22</v>
      </c>
    </row>
    <row r="414" spans="1:3" x14ac:dyDescent="0.2">
      <c r="A414" s="5">
        <v>412</v>
      </c>
      <c r="B414" s="5">
        <f t="shared" ca="1" si="6"/>
        <v>0.67855256562068744</v>
      </c>
      <c r="C414" s="5" t="s">
        <v>22</v>
      </c>
    </row>
    <row r="415" spans="1:3" x14ac:dyDescent="0.2">
      <c r="A415" s="5">
        <v>413</v>
      </c>
      <c r="B415" s="5">
        <f t="shared" ca="1" si="6"/>
        <v>0.66381311205780591</v>
      </c>
      <c r="C415" s="5" t="s">
        <v>21</v>
      </c>
    </row>
    <row r="416" spans="1:3" x14ac:dyDescent="0.2">
      <c r="A416" s="5">
        <v>414</v>
      </c>
      <c r="B416" s="5">
        <f t="shared" ca="1" si="6"/>
        <v>0.8195593040498983</v>
      </c>
      <c r="C416" s="5" t="s">
        <v>21</v>
      </c>
    </row>
    <row r="417" spans="1:3" x14ac:dyDescent="0.2">
      <c r="A417" s="5">
        <v>415</v>
      </c>
      <c r="B417" s="5">
        <f t="shared" ca="1" si="6"/>
        <v>0.70964901145357207</v>
      </c>
      <c r="C417" s="5" t="s">
        <v>22</v>
      </c>
    </row>
    <row r="418" spans="1:3" x14ac:dyDescent="0.2">
      <c r="A418" s="5">
        <v>416</v>
      </c>
      <c r="B418" s="5">
        <f t="shared" ca="1" si="6"/>
        <v>0.87525990282186084</v>
      </c>
      <c r="C418" s="5" t="s">
        <v>21</v>
      </c>
    </row>
    <row r="419" spans="1:3" x14ac:dyDescent="0.2">
      <c r="A419" s="5">
        <v>417</v>
      </c>
      <c r="B419" s="5">
        <f t="shared" ca="1" si="6"/>
        <v>0.75174259936559296</v>
      </c>
      <c r="C419" s="5" t="s">
        <v>21</v>
      </c>
    </row>
    <row r="420" spans="1:3" x14ac:dyDescent="0.2">
      <c r="A420" s="5">
        <v>418</v>
      </c>
      <c r="B420" s="5">
        <f t="shared" ca="1" si="6"/>
        <v>0.58814557516504029</v>
      </c>
      <c r="C420" s="5" t="s">
        <v>22</v>
      </c>
    </row>
    <row r="421" spans="1:3" x14ac:dyDescent="0.2">
      <c r="A421" s="5">
        <v>419</v>
      </c>
      <c r="B421" s="5">
        <f t="shared" ca="1" si="6"/>
        <v>0.65164083714122512</v>
      </c>
      <c r="C421" s="5" t="s">
        <v>22</v>
      </c>
    </row>
    <row r="422" spans="1:3" x14ac:dyDescent="0.2">
      <c r="A422" s="5">
        <v>420</v>
      </c>
      <c r="B422" s="5">
        <f t="shared" ca="1" si="6"/>
        <v>0.6641944764445884</v>
      </c>
      <c r="C422" s="5" t="s">
        <v>21</v>
      </c>
    </row>
    <row r="423" spans="1:3" x14ac:dyDescent="0.2">
      <c r="A423" s="5">
        <v>421</v>
      </c>
      <c r="B423" s="5">
        <f t="shared" ca="1" si="6"/>
        <v>0.75592671897634933</v>
      </c>
      <c r="C423" s="5" t="s">
        <v>21</v>
      </c>
    </row>
    <row r="424" spans="1:3" x14ac:dyDescent="0.2">
      <c r="A424" s="5">
        <v>422</v>
      </c>
      <c r="B424" s="5">
        <f t="shared" ca="1" si="6"/>
        <v>0.74332936266099892</v>
      </c>
      <c r="C424" s="5" t="s">
        <v>22</v>
      </c>
    </row>
    <row r="425" spans="1:3" x14ac:dyDescent="0.2">
      <c r="A425" s="5">
        <v>423</v>
      </c>
      <c r="B425" s="5">
        <f t="shared" ca="1" si="6"/>
        <v>0.56457121252652076</v>
      </c>
      <c r="C425" s="5" t="s">
        <v>22</v>
      </c>
    </row>
    <row r="426" spans="1:3" x14ac:dyDescent="0.2">
      <c r="A426" s="5">
        <v>424</v>
      </c>
      <c r="B426" s="5">
        <f t="shared" ca="1" si="6"/>
        <v>0.74853724134727628</v>
      </c>
      <c r="C426" s="5" t="s">
        <v>22</v>
      </c>
    </row>
    <row r="427" spans="1:3" x14ac:dyDescent="0.2">
      <c r="A427" s="5">
        <v>425</v>
      </c>
      <c r="B427" s="5">
        <f t="shared" ca="1" si="6"/>
        <v>0.64796159824087052</v>
      </c>
      <c r="C427" s="5" t="s">
        <v>21</v>
      </c>
    </row>
    <row r="428" spans="1:3" x14ac:dyDescent="0.2">
      <c r="A428" s="5">
        <v>426</v>
      </c>
      <c r="B428" s="5">
        <f t="shared" ca="1" si="6"/>
        <v>0.94376370566579415</v>
      </c>
      <c r="C428" s="5" t="s">
        <v>22</v>
      </c>
    </row>
    <row r="429" spans="1:3" x14ac:dyDescent="0.2">
      <c r="A429" s="5">
        <v>427</v>
      </c>
      <c r="B429" s="5">
        <f t="shared" ca="1" si="6"/>
        <v>0.73135124777612637</v>
      </c>
      <c r="C429" s="5" t="s">
        <v>21</v>
      </c>
    </row>
    <row r="430" spans="1:3" x14ac:dyDescent="0.2">
      <c r="A430" s="5">
        <v>428</v>
      </c>
      <c r="B430" s="5">
        <f t="shared" ca="1" si="6"/>
        <v>0.48539706795808435</v>
      </c>
      <c r="C430" s="5" t="s">
        <v>22</v>
      </c>
    </row>
    <row r="431" spans="1:3" x14ac:dyDescent="0.2">
      <c r="A431" s="5">
        <v>429</v>
      </c>
      <c r="B431" s="5">
        <f t="shared" ca="1" si="6"/>
        <v>0.54845852878182588</v>
      </c>
      <c r="C431" s="5" t="s">
        <v>22</v>
      </c>
    </row>
    <row r="432" spans="1:3" x14ac:dyDescent="0.2">
      <c r="A432" s="5">
        <v>430</v>
      </c>
      <c r="B432" s="5">
        <f t="shared" ca="1" si="6"/>
        <v>0.57294844760152885</v>
      </c>
      <c r="C432" s="5" t="s">
        <v>21</v>
      </c>
    </row>
    <row r="433" spans="1:3" x14ac:dyDescent="0.2">
      <c r="A433" s="5">
        <v>431</v>
      </c>
      <c r="B433" s="5">
        <f t="shared" ca="1" si="6"/>
        <v>0.76143774922350016</v>
      </c>
      <c r="C433" s="5" t="s">
        <v>21</v>
      </c>
    </row>
    <row r="434" spans="1:3" x14ac:dyDescent="0.2">
      <c r="A434" s="5">
        <v>432</v>
      </c>
      <c r="B434" s="5">
        <f t="shared" ca="1" si="6"/>
        <v>0.40734690285007519</v>
      </c>
      <c r="C434" s="5" t="s">
        <v>22</v>
      </c>
    </row>
    <row r="435" spans="1:3" x14ac:dyDescent="0.2">
      <c r="A435" s="5">
        <v>433</v>
      </c>
      <c r="B435" s="5">
        <f t="shared" ca="1" si="6"/>
        <v>0.79995022727171616</v>
      </c>
      <c r="C435" s="5" t="s">
        <v>21</v>
      </c>
    </row>
    <row r="436" spans="1:3" x14ac:dyDescent="0.2">
      <c r="A436" s="5">
        <v>434</v>
      </c>
      <c r="B436" s="5">
        <f t="shared" ca="1" si="6"/>
        <v>0.4863270235216457</v>
      </c>
      <c r="C436" s="5" t="s">
        <v>22</v>
      </c>
    </row>
    <row r="437" spans="1:3" x14ac:dyDescent="0.2">
      <c r="A437" s="5">
        <v>435</v>
      </c>
      <c r="B437" s="5">
        <f t="shared" ca="1" si="6"/>
        <v>0.76421639271407427</v>
      </c>
      <c r="C437" s="5" t="s">
        <v>21</v>
      </c>
    </row>
    <row r="438" spans="1:3" x14ac:dyDescent="0.2">
      <c r="A438" s="5">
        <v>436</v>
      </c>
      <c r="B438" s="5">
        <f t="shared" ca="1" si="6"/>
        <v>0.74606559401549266</v>
      </c>
      <c r="C438" s="5" t="s">
        <v>21</v>
      </c>
    </row>
    <row r="439" spans="1:3" x14ac:dyDescent="0.2">
      <c r="A439" s="5">
        <v>437</v>
      </c>
      <c r="B439" s="5">
        <f t="shared" ca="1" si="6"/>
        <v>0.78104376537615727</v>
      </c>
      <c r="C439" s="5" t="s">
        <v>22</v>
      </c>
    </row>
    <row r="440" spans="1:3" x14ac:dyDescent="0.2">
      <c r="A440" s="5">
        <v>438</v>
      </c>
      <c r="B440" s="5">
        <f t="shared" ca="1" si="6"/>
        <v>0.5035106274713943</v>
      </c>
      <c r="C440" s="5" t="s">
        <v>21</v>
      </c>
    </row>
    <row r="441" spans="1:3" x14ac:dyDescent="0.2">
      <c r="A441" s="5">
        <v>439</v>
      </c>
      <c r="B441" s="5">
        <f t="shared" ca="1" si="6"/>
        <v>0.69055797220031379</v>
      </c>
      <c r="C441" s="5" t="s">
        <v>21</v>
      </c>
    </row>
    <row r="442" spans="1:3" x14ac:dyDescent="0.2">
      <c r="A442" s="5">
        <v>440</v>
      </c>
      <c r="B442" s="5">
        <f t="shared" ca="1" si="6"/>
        <v>0.72753881345763338</v>
      </c>
      <c r="C442" s="5" t="s">
        <v>21</v>
      </c>
    </row>
    <row r="443" spans="1:3" x14ac:dyDescent="0.2">
      <c r="A443" s="5">
        <v>441</v>
      </c>
      <c r="B443" s="5">
        <f t="shared" ca="1" si="6"/>
        <v>0.64958752963398725</v>
      </c>
      <c r="C443" s="5" t="s">
        <v>21</v>
      </c>
    </row>
    <row r="444" spans="1:3" x14ac:dyDescent="0.2">
      <c r="A444" s="5">
        <v>442</v>
      </c>
      <c r="B444" s="5">
        <f t="shared" ca="1" si="6"/>
        <v>0.67999797841323983</v>
      </c>
      <c r="C444" s="5" t="s">
        <v>21</v>
      </c>
    </row>
    <row r="445" spans="1:3" x14ac:dyDescent="0.2">
      <c r="A445" s="5">
        <v>443</v>
      </c>
      <c r="B445" s="5">
        <f t="shared" ca="1" si="6"/>
        <v>0.72350405657241423</v>
      </c>
      <c r="C445" s="5" t="s">
        <v>21</v>
      </c>
    </row>
    <row r="446" spans="1:3" x14ac:dyDescent="0.2">
      <c r="A446" s="5">
        <v>444</v>
      </c>
      <c r="B446" s="5">
        <f t="shared" ca="1" si="6"/>
        <v>0.57975444124516495</v>
      </c>
      <c r="C446" s="5" t="s">
        <v>22</v>
      </c>
    </row>
    <row r="447" spans="1:3" x14ac:dyDescent="0.2">
      <c r="A447" s="5">
        <v>445</v>
      </c>
      <c r="B447" s="5">
        <f t="shared" ca="1" si="6"/>
        <v>0.72325998312575179</v>
      </c>
      <c r="C447" s="5" t="s">
        <v>22</v>
      </c>
    </row>
    <row r="448" spans="1:3" x14ac:dyDescent="0.2">
      <c r="A448" s="5">
        <v>446</v>
      </c>
      <c r="B448" s="5">
        <f t="shared" ca="1" si="6"/>
        <v>0.59579153628417636</v>
      </c>
      <c r="C448" s="5" t="s">
        <v>21</v>
      </c>
    </row>
    <row r="449" spans="1:3" x14ac:dyDescent="0.2">
      <c r="A449" s="5">
        <v>447</v>
      </c>
      <c r="B449" s="5">
        <f t="shared" ca="1" si="6"/>
        <v>0.67065522695575552</v>
      </c>
      <c r="C449" s="5" t="s">
        <v>22</v>
      </c>
    </row>
    <row r="450" spans="1:3" x14ac:dyDescent="0.2">
      <c r="A450" s="5">
        <v>448</v>
      </c>
      <c r="B450" s="5">
        <f t="shared" ca="1" si="6"/>
        <v>0.75725840645196718</v>
      </c>
      <c r="C450" s="5" t="s">
        <v>21</v>
      </c>
    </row>
    <row r="451" spans="1:3" x14ac:dyDescent="0.2">
      <c r="A451" s="5">
        <v>449</v>
      </c>
      <c r="B451" s="5">
        <f t="shared" ca="1" si="6"/>
        <v>0.6723557419292846</v>
      </c>
      <c r="C451" s="5" t="s">
        <v>21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0.35179851994442901</v>
      </c>
      <c r="C452" s="5" t="s">
        <v>22</v>
      </c>
    </row>
    <row r="453" spans="1:3" x14ac:dyDescent="0.2">
      <c r="A453" s="5">
        <v>451</v>
      </c>
      <c r="B453" s="5">
        <f t="shared" ca="1" si="7"/>
        <v>0.79454629605531801</v>
      </c>
      <c r="C453" s="5" t="s">
        <v>21</v>
      </c>
    </row>
    <row r="454" spans="1:3" x14ac:dyDescent="0.2">
      <c r="A454" s="5">
        <v>452</v>
      </c>
      <c r="B454" s="5">
        <f t="shared" ca="1" si="7"/>
        <v>0.82148534870420287</v>
      </c>
      <c r="C454" s="5" t="s">
        <v>21</v>
      </c>
    </row>
    <row r="455" spans="1:3" x14ac:dyDescent="0.2">
      <c r="A455" s="5">
        <v>453</v>
      </c>
      <c r="B455" s="5">
        <f t="shared" ca="1" si="7"/>
        <v>0.68060425978662886</v>
      </c>
      <c r="C455" s="5" t="s">
        <v>22</v>
      </c>
    </row>
    <row r="456" spans="1:3" x14ac:dyDescent="0.2">
      <c r="A456" s="5">
        <v>454</v>
      </c>
      <c r="B456" s="5">
        <f t="shared" ca="1" si="7"/>
        <v>0.7200383955355355</v>
      </c>
      <c r="C456" s="5" t="s">
        <v>21</v>
      </c>
    </row>
    <row r="457" spans="1:3" x14ac:dyDescent="0.2">
      <c r="A457" s="5">
        <v>455</v>
      </c>
      <c r="B457" s="5">
        <f t="shared" ca="1" si="7"/>
        <v>0.46206124014043026</v>
      </c>
      <c r="C457" s="5" t="s">
        <v>22</v>
      </c>
    </row>
    <row r="458" spans="1:3" x14ac:dyDescent="0.2">
      <c r="A458" s="5">
        <v>456</v>
      </c>
      <c r="B458" s="5">
        <f t="shared" ca="1" si="7"/>
        <v>0.65255468610710121</v>
      </c>
      <c r="C458" s="5" t="s">
        <v>22</v>
      </c>
    </row>
    <row r="459" spans="1:3" x14ac:dyDescent="0.2">
      <c r="A459" s="5">
        <v>457</v>
      </c>
      <c r="B459" s="5">
        <f t="shared" ca="1" si="7"/>
        <v>0.73110540320697504</v>
      </c>
      <c r="C459" s="5" t="s">
        <v>22</v>
      </c>
    </row>
    <row r="460" spans="1:3" x14ac:dyDescent="0.2">
      <c r="A460" s="5">
        <v>458</v>
      </c>
      <c r="B460" s="5">
        <f t="shared" ca="1" si="7"/>
        <v>0.72922866451109492</v>
      </c>
      <c r="C460" s="5" t="s">
        <v>22</v>
      </c>
    </row>
    <row r="461" spans="1:3" x14ac:dyDescent="0.2">
      <c r="A461" s="5">
        <v>459</v>
      </c>
      <c r="B461" s="5">
        <f t="shared" ca="1" si="7"/>
        <v>0.82397574777339233</v>
      </c>
      <c r="C461" s="5" t="s">
        <v>21</v>
      </c>
    </row>
    <row r="462" spans="1:3" x14ac:dyDescent="0.2">
      <c r="A462" s="5">
        <v>460</v>
      </c>
      <c r="B462" s="5">
        <f t="shared" ca="1" si="7"/>
        <v>0.49405813543652422</v>
      </c>
      <c r="C462" s="5" t="s">
        <v>21</v>
      </c>
    </row>
    <row r="463" spans="1:3" x14ac:dyDescent="0.2">
      <c r="A463" s="5">
        <v>461</v>
      </c>
      <c r="B463" s="5">
        <f t="shared" ca="1" si="7"/>
        <v>0.49370179134454484</v>
      </c>
      <c r="C463" s="5" t="s">
        <v>22</v>
      </c>
    </row>
    <row r="464" spans="1:3" x14ac:dyDescent="0.2">
      <c r="A464" s="5">
        <v>462</v>
      </c>
      <c r="B464" s="5">
        <f t="shared" ca="1" si="7"/>
        <v>0.66432402225472387</v>
      </c>
      <c r="C464" s="5" t="s">
        <v>21</v>
      </c>
    </row>
    <row r="465" spans="1:3" x14ac:dyDescent="0.2">
      <c r="A465" s="5">
        <v>463</v>
      </c>
      <c r="B465" s="5">
        <f t="shared" ca="1" si="7"/>
        <v>0.74459588940351895</v>
      </c>
      <c r="C465" s="5" t="s">
        <v>21</v>
      </c>
    </row>
    <row r="466" spans="1:3" x14ac:dyDescent="0.2">
      <c r="A466" s="5">
        <v>464</v>
      </c>
      <c r="B466" s="5">
        <f t="shared" ca="1" si="7"/>
        <v>0.60022481438526787</v>
      </c>
      <c r="C466" s="5" t="s">
        <v>21</v>
      </c>
    </row>
    <row r="467" spans="1:3" x14ac:dyDescent="0.2">
      <c r="A467" s="5">
        <v>465</v>
      </c>
      <c r="B467" s="5">
        <f t="shared" ca="1" si="7"/>
        <v>0.76325277559533855</v>
      </c>
      <c r="C467" s="5" t="s">
        <v>21</v>
      </c>
    </row>
    <row r="468" spans="1:3" x14ac:dyDescent="0.2">
      <c r="A468" s="5">
        <v>466</v>
      </c>
      <c r="B468" s="5">
        <f t="shared" ca="1" si="7"/>
        <v>0.41634226551147546</v>
      </c>
      <c r="C468" s="5" t="s">
        <v>22</v>
      </c>
    </row>
    <row r="469" spans="1:3" x14ac:dyDescent="0.2">
      <c r="A469" s="5">
        <v>467</v>
      </c>
      <c r="B469" s="5">
        <f t="shared" ca="1" si="7"/>
        <v>0.62230121536277871</v>
      </c>
      <c r="C469" s="5" t="s">
        <v>22</v>
      </c>
    </row>
    <row r="470" spans="1:3" x14ac:dyDescent="0.2">
      <c r="A470" s="5">
        <v>468</v>
      </c>
      <c r="B470" s="5">
        <f t="shared" ca="1" si="7"/>
        <v>0.50164196345566081</v>
      </c>
      <c r="C470" s="5" t="s">
        <v>22</v>
      </c>
    </row>
    <row r="471" spans="1:3" x14ac:dyDescent="0.2">
      <c r="A471" s="5">
        <v>469</v>
      </c>
      <c r="B471" s="5">
        <f t="shared" ca="1" si="7"/>
        <v>0.64791649006928531</v>
      </c>
      <c r="C471" s="5" t="s">
        <v>21</v>
      </c>
    </row>
    <row r="472" spans="1:3" x14ac:dyDescent="0.2">
      <c r="A472" s="5">
        <v>470</v>
      </c>
      <c r="B472" s="5">
        <f t="shared" ca="1" si="7"/>
        <v>0.63555082954076048</v>
      </c>
      <c r="C472" s="5" t="s">
        <v>22</v>
      </c>
    </row>
    <row r="473" spans="1:3" x14ac:dyDescent="0.2">
      <c r="A473" s="5">
        <v>471</v>
      </c>
      <c r="B473" s="5">
        <f t="shared" ca="1" si="7"/>
        <v>0.64612801018841692</v>
      </c>
      <c r="C473" s="5" t="s">
        <v>21</v>
      </c>
    </row>
    <row r="474" spans="1:3" x14ac:dyDescent="0.2">
      <c r="A474" s="5">
        <v>472</v>
      </c>
      <c r="B474" s="5">
        <f t="shared" ca="1" si="7"/>
        <v>0.67155954392411377</v>
      </c>
      <c r="C474" s="5" t="s">
        <v>21</v>
      </c>
    </row>
    <row r="475" spans="1:3" x14ac:dyDescent="0.2">
      <c r="A475" s="5">
        <v>473</v>
      </c>
      <c r="B475" s="5">
        <f t="shared" ca="1" si="7"/>
        <v>0.80518177927604884</v>
      </c>
      <c r="C475" s="5" t="s">
        <v>21</v>
      </c>
    </row>
    <row r="476" spans="1:3" x14ac:dyDescent="0.2">
      <c r="A476" s="5">
        <v>474</v>
      </c>
      <c r="B476" s="5">
        <f t="shared" ca="1" si="7"/>
        <v>0.23599867851404849</v>
      </c>
      <c r="C476" s="5" t="s">
        <v>22</v>
      </c>
    </row>
    <row r="477" spans="1:3" x14ac:dyDescent="0.2">
      <c r="A477" s="5">
        <v>475</v>
      </c>
      <c r="B477" s="5">
        <f t="shared" ca="1" si="7"/>
        <v>0.60780340909063235</v>
      </c>
      <c r="C477" s="5" t="s">
        <v>21</v>
      </c>
    </row>
    <row r="478" spans="1:3" x14ac:dyDescent="0.2">
      <c r="A478" s="5">
        <v>476</v>
      </c>
      <c r="B478" s="5">
        <f t="shared" ca="1" si="7"/>
        <v>0.69758189236073309</v>
      </c>
      <c r="C478" s="5" t="s">
        <v>21</v>
      </c>
    </row>
    <row r="479" spans="1:3" x14ac:dyDescent="0.2">
      <c r="A479" s="5">
        <v>477</v>
      </c>
      <c r="B479" s="5">
        <f t="shared" ca="1" si="7"/>
        <v>0.66705547710242219</v>
      </c>
      <c r="C479" s="5" t="s">
        <v>22</v>
      </c>
    </row>
    <row r="480" spans="1:3" x14ac:dyDescent="0.2">
      <c r="A480" s="5">
        <v>478</v>
      </c>
      <c r="B480" s="5">
        <f t="shared" ca="1" si="7"/>
        <v>0.20799890580315106</v>
      </c>
      <c r="C480" s="5" t="s">
        <v>22</v>
      </c>
    </row>
    <row r="481" spans="1:3" x14ac:dyDescent="0.2">
      <c r="A481" s="5">
        <v>479</v>
      </c>
      <c r="B481" s="5">
        <f t="shared" ca="1" si="7"/>
        <v>0.70744269530036752</v>
      </c>
      <c r="C481" s="5" t="s">
        <v>21</v>
      </c>
    </row>
    <row r="482" spans="1:3" x14ac:dyDescent="0.2">
      <c r="A482" s="5">
        <v>480</v>
      </c>
      <c r="B482" s="5">
        <f t="shared" ca="1" si="7"/>
        <v>0.68851228517544694</v>
      </c>
      <c r="C482" s="5" t="s">
        <v>21</v>
      </c>
    </row>
    <row r="483" spans="1:3" x14ac:dyDescent="0.2">
      <c r="A483" s="5">
        <v>481</v>
      </c>
      <c r="B483" s="5">
        <f t="shared" ca="1" si="7"/>
        <v>0.79857011963868474</v>
      </c>
      <c r="C483" s="5" t="s">
        <v>22</v>
      </c>
    </row>
    <row r="484" spans="1:3" x14ac:dyDescent="0.2">
      <c r="A484" s="5">
        <v>482</v>
      </c>
      <c r="B484" s="5">
        <f t="shared" ca="1" si="7"/>
        <v>0.46970414136338035</v>
      </c>
      <c r="C484" s="5" t="s">
        <v>22</v>
      </c>
    </row>
    <row r="485" spans="1:3" x14ac:dyDescent="0.2">
      <c r="A485" s="5">
        <v>483</v>
      </c>
      <c r="B485" s="5">
        <f t="shared" ca="1" si="7"/>
        <v>0.72049487550722469</v>
      </c>
      <c r="C485" s="5" t="s">
        <v>21</v>
      </c>
    </row>
    <row r="486" spans="1:3" x14ac:dyDescent="0.2">
      <c r="A486" s="5">
        <v>484</v>
      </c>
      <c r="B486" s="5">
        <f t="shared" ca="1" si="7"/>
        <v>0.78813097311216151</v>
      </c>
      <c r="C486" s="5" t="s">
        <v>21</v>
      </c>
    </row>
    <row r="487" spans="1:3" x14ac:dyDescent="0.2">
      <c r="A487" s="5">
        <v>485</v>
      </c>
      <c r="B487" s="5">
        <f t="shared" ca="1" si="7"/>
        <v>0.66805560641524575</v>
      </c>
      <c r="C487" s="5" t="s">
        <v>21</v>
      </c>
    </row>
    <row r="488" spans="1:3" x14ac:dyDescent="0.2">
      <c r="A488" s="5">
        <v>486</v>
      </c>
      <c r="B488" s="5">
        <f t="shared" ca="1" si="7"/>
        <v>0.22006197548464546</v>
      </c>
      <c r="C488" s="5" t="s">
        <v>22</v>
      </c>
    </row>
    <row r="489" spans="1:3" x14ac:dyDescent="0.2">
      <c r="A489" s="5">
        <v>487</v>
      </c>
      <c r="B489" s="5">
        <f t="shared" ca="1" si="7"/>
        <v>0.80175777243351287</v>
      </c>
      <c r="C489" s="5" t="s">
        <v>21</v>
      </c>
    </row>
    <row r="490" spans="1:3" x14ac:dyDescent="0.2">
      <c r="A490" s="5">
        <v>488</v>
      </c>
      <c r="B490" s="5">
        <f t="shared" ca="1" si="7"/>
        <v>0.6083469349977052</v>
      </c>
      <c r="C490" s="5" t="s">
        <v>22</v>
      </c>
    </row>
    <row r="491" spans="1:3" x14ac:dyDescent="0.2">
      <c r="A491" s="5">
        <v>489</v>
      </c>
      <c r="B491" s="5">
        <f t="shared" ca="1" si="7"/>
        <v>0.59064698681811056</v>
      </c>
      <c r="C491" s="5" t="s">
        <v>22</v>
      </c>
    </row>
    <row r="492" spans="1:3" x14ac:dyDescent="0.2">
      <c r="A492" s="5">
        <v>490</v>
      </c>
      <c r="B492" s="5">
        <f t="shared" ca="1" si="7"/>
        <v>0.71996676572913376</v>
      </c>
      <c r="C492" s="5" t="s">
        <v>21</v>
      </c>
    </row>
    <row r="493" spans="1:3" x14ac:dyDescent="0.2">
      <c r="A493" s="5">
        <v>491</v>
      </c>
      <c r="B493" s="5">
        <f t="shared" ca="1" si="7"/>
        <v>0.51912846604465657</v>
      </c>
      <c r="C493" s="5" t="s">
        <v>22</v>
      </c>
    </row>
    <row r="494" spans="1:3" x14ac:dyDescent="0.2">
      <c r="A494" s="5">
        <v>492</v>
      </c>
      <c r="B494" s="5">
        <f t="shared" ca="1" si="7"/>
        <v>0.66538155320012149</v>
      </c>
      <c r="C494" s="5" t="s">
        <v>21</v>
      </c>
    </row>
    <row r="495" spans="1:3" x14ac:dyDescent="0.2">
      <c r="A495" s="5">
        <v>493</v>
      </c>
      <c r="B495" s="5">
        <f t="shared" ca="1" si="7"/>
        <v>0.51858985581489692</v>
      </c>
      <c r="C495" s="5" t="s">
        <v>22</v>
      </c>
    </row>
    <row r="496" spans="1:3" x14ac:dyDescent="0.2">
      <c r="A496" s="5">
        <v>494</v>
      </c>
      <c r="B496" s="5">
        <f t="shared" ca="1" si="7"/>
        <v>0.21203343431656979</v>
      </c>
      <c r="C496" s="5" t="s">
        <v>22</v>
      </c>
    </row>
    <row r="497" spans="1:3" x14ac:dyDescent="0.2">
      <c r="A497" s="5">
        <v>495</v>
      </c>
      <c r="B497" s="5">
        <f t="shared" ca="1" si="7"/>
        <v>0.5218861650955513</v>
      </c>
      <c r="C497" s="5" t="s">
        <v>21</v>
      </c>
    </row>
    <row r="498" spans="1:3" x14ac:dyDescent="0.2">
      <c r="A498" s="5">
        <v>496</v>
      </c>
      <c r="B498" s="5">
        <f t="shared" ca="1" si="7"/>
        <v>0.5802062362116942</v>
      </c>
      <c r="C498" s="5" t="s">
        <v>21</v>
      </c>
    </row>
    <row r="499" spans="1:3" x14ac:dyDescent="0.2">
      <c r="A499" s="5">
        <v>497</v>
      </c>
      <c r="B499" s="5">
        <f t="shared" ca="1" si="7"/>
        <v>0.66720879002693834</v>
      </c>
      <c r="C499" s="5" t="s">
        <v>21</v>
      </c>
    </row>
    <row r="500" spans="1:3" x14ac:dyDescent="0.2">
      <c r="A500" s="5">
        <v>498</v>
      </c>
      <c r="B500" s="5">
        <f t="shared" ca="1" si="7"/>
        <v>0.64243869780072982</v>
      </c>
      <c r="C500" s="5" t="s">
        <v>22</v>
      </c>
    </row>
    <row r="501" spans="1:3" x14ac:dyDescent="0.2">
      <c r="A501" s="5">
        <v>499</v>
      </c>
      <c r="B501" s="5">
        <f t="shared" ca="1" si="7"/>
        <v>0.74800325983699656</v>
      </c>
      <c r="C501" s="5" t="s">
        <v>21</v>
      </c>
    </row>
    <row r="502" spans="1:3" x14ac:dyDescent="0.2">
      <c r="A502" s="5">
        <v>500</v>
      </c>
      <c r="B502" s="5">
        <f t="shared" ca="1" si="7"/>
        <v>0.5788282348238748</v>
      </c>
      <c r="C502" s="5" t="s">
        <v>21</v>
      </c>
    </row>
    <row r="503" spans="1:3" x14ac:dyDescent="0.2">
      <c r="A503" s="5">
        <v>501</v>
      </c>
      <c r="B503" s="5">
        <f t="shared" ca="1" si="7"/>
        <v>0.49545324155574977</v>
      </c>
      <c r="C503" s="5" t="s">
        <v>22</v>
      </c>
    </row>
    <row r="504" spans="1:3" x14ac:dyDescent="0.2">
      <c r="A504" s="5">
        <v>502</v>
      </c>
      <c r="B504" s="5">
        <f t="shared" ca="1" si="7"/>
        <v>0.68471482403310224</v>
      </c>
      <c r="C504" s="5" t="s">
        <v>22</v>
      </c>
    </row>
    <row r="505" spans="1:3" x14ac:dyDescent="0.2">
      <c r="A505" s="5">
        <v>503</v>
      </c>
      <c r="B505" s="5">
        <f t="shared" ca="1" si="7"/>
        <v>0.77891316698190227</v>
      </c>
      <c r="C505" s="5" t="s">
        <v>22</v>
      </c>
    </row>
    <row r="506" spans="1:3" x14ac:dyDescent="0.2">
      <c r="A506" s="5">
        <v>504</v>
      </c>
      <c r="B506" s="5">
        <f t="shared" ca="1" si="7"/>
        <v>0.48829114106182336</v>
      </c>
      <c r="C506" s="5" t="s">
        <v>22</v>
      </c>
    </row>
    <row r="507" spans="1:3" x14ac:dyDescent="0.2">
      <c r="A507" s="5">
        <v>505</v>
      </c>
      <c r="B507" s="5">
        <f t="shared" ca="1" si="7"/>
        <v>0.62048215229073977</v>
      </c>
      <c r="C507" s="5" t="s">
        <v>21</v>
      </c>
    </row>
    <row r="508" spans="1:3" x14ac:dyDescent="0.2">
      <c r="A508" s="5">
        <v>506</v>
      </c>
      <c r="B508" s="5">
        <f t="shared" ca="1" si="7"/>
        <v>0.82139655879250684</v>
      </c>
      <c r="C508" s="5" t="s">
        <v>21</v>
      </c>
    </row>
    <row r="509" spans="1:3" x14ac:dyDescent="0.2">
      <c r="A509" s="5">
        <v>507</v>
      </c>
      <c r="B509" s="5">
        <f t="shared" ca="1" si="7"/>
        <v>0.82493865680238643</v>
      </c>
      <c r="C509" s="5" t="s">
        <v>21</v>
      </c>
    </row>
    <row r="510" spans="1:3" x14ac:dyDescent="0.2">
      <c r="A510" s="5">
        <v>508</v>
      </c>
      <c r="B510" s="5">
        <f t="shared" ca="1" si="7"/>
        <v>0.5781292495933481</v>
      </c>
      <c r="C510" s="5" t="s">
        <v>22</v>
      </c>
    </row>
    <row r="511" spans="1:3" x14ac:dyDescent="0.2">
      <c r="A511" s="5">
        <v>509</v>
      </c>
      <c r="B511" s="5">
        <f t="shared" ca="1" si="7"/>
        <v>0.84461185836338659</v>
      </c>
      <c r="C511" s="5" t="s">
        <v>21</v>
      </c>
    </row>
    <row r="512" spans="1:3" x14ac:dyDescent="0.2">
      <c r="A512" s="5">
        <v>510</v>
      </c>
      <c r="B512" s="5">
        <f t="shared" ca="1" si="7"/>
        <v>0.7602474174295597</v>
      </c>
      <c r="C512" s="5" t="s">
        <v>21</v>
      </c>
    </row>
    <row r="513" spans="1:3" x14ac:dyDescent="0.2">
      <c r="A513" s="5">
        <v>511</v>
      </c>
      <c r="B513" s="5">
        <f t="shared" ca="1" si="7"/>
        <v>0.67621053027188016</v>
      </c>
      <c r="C513" s="5" t="s">
        <v>21</v>
      </c>
    </row>
    <row r="514" spans="1:3" x14ac:dyDescent="0.2">
      <c r="A514" s="5">
        <v>512</v>
      </c>
      <c r="B514" s="5">
        <f t="shared" ca="1" si="7"/>
        <v>0.85285018028206439</v>
      </c>
      <c r="C514" s="5" t="s">
        <v>21</v>
      </c>
    </row>
    <row r="515" spans="1:3" x14ac:dyDescent="0.2">
      <c r="A515" s="5">
        <v>513</v>
      </c>
      <c r="B515" s="5">
        <f t="shared" ca="1" si="7"/>
        <v>0.81157257010871997</v>
      </c>
      <c r="C515" s="5" t="s">
        <v>21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0.5061557875713748</v>
      </c>
      <c r="C516" s="5" t="s">
        <v>22</v>
      </c>
    </row>
    <row r="517" spans="1:3" x14ac:dyDescent="0.2">
      <c r="A517" s="5">
        <v>515</v>
      </c>
      <c r="B517" s="5">
        <f t="shared" ca="1" si="8"/>
        <v>0.77184936310129604</v>
      </c>
      <c r="C517" s="5" t="s">
        <v>21</v>
      </c>
    </row>
    <row r="518" spans="1:3" x14ac:dyDescent="0.2">
      <c r="A518" s="5">
        <v>516</v>
      </c>
      <c r="B518" s="5">
        <f t="shared" ca="1" si="8"/>
        <v>0.66255662942705462</v>
      </c>
      <c r="C518" s="5" t="s">
        <v>21</v>
      </c>
    </row>
    <row r="519" spans="1:3" x14ac:dyDescent="0.2">
      <c r="A519" s="5">
        <v>517</v>
      </c>
      <c r="B519" s="5">
        <f t="shared" ca="1" si="8"/>
        <v>0.67750146371911435</v>
      </c>
      <c r="C519" s="5" t="s">
        <v>21</v>
      </c>
    </row>
    <row r="520" spans="1:3" x14ac:dyDescent="0.2">
      <c r="A520" s="5">
        <v>518</v>
      </c>
      <c r="B520" s="5">
        <f t="shared" ca="1" si="8"/>
        <v>0.77573142211757928</v>
      </c>
      <c r="C520" s="5" t="s">
        <v>22</v>
      </c>
    </row>
    <row r="521" spans="1:3" x14ac:dyDescent="0.2">
      <c r="A521" s="5">
        <v>519</v>
      </c>
      <c r="B521" s="5">
        <f t="shared" ca="1" si="8"/>
        <v>0.71125894191034178</v>
      </c>
      <c r="C521" s="5" t="s">
        <v>21</v>
      </c>
    </row>
    <row r="522" spans="1:3" x14ac:dyDescent="0.2">
      <c r="A522" s="5">
        <v>520</v>
      </c>
      <c r="B522" s="5">
        <f t="shared" ca="1" si="8"/>
        <v>0.38179607839609037</v>
      </c>
      <c r="C522" s="5" t="s">
        <v>22</v>
      </c>
    </row>
    <row r="523" spans="1:3" x14ac:dyDescent="0.2">
      <c r="A523" s="5">
        <v>521</v>
      </c>
      <c r="B523" s="5">
        <f t="shared" ca="1" si="8"/>
        <v>0.60457863778350274</v>
      </c>
      <c r="C523" s="5" t="s">
        <v>22</v>
      </c>
    </row>
    <row r="524" spans="1:3" x14ac:dyDescent="0.2">
      <c r="A524" s="5">
        <v>522</v>
      </c>
      <c r="B524" s="5">
        <f t="shared" ca="1" si="8"/>
        <v>0.64466689863500504</v>
      </c>
      <c r="C524" s="5" t="s">
        <v>21</v>
      </c>
    </row>
    <row r="525" spans="1:3" x14ac:dyDescent="0.2">
      <c r="A525" s="5">
        <v>523</v>
      </c>
      <c r="B525" s="5">
        <f t="shared" ca="1" si="8"/>
        <v>0.86154793914773808</v>
      </c>
      <c r="C525" s="5" t="s">
        <v>21</v>
      </c>
    </row>
    <row r="526" spans="1:3" x14ac:dyDescent="0.2">
      <c r="A526" s="5">
        <v>524</v>
      </c>
      <c r="B526" s="5">
        <f t="shared" ca="1" si="8"/>
        <v>0.54644293769983066</v>
      </c>
      <c r="C526" s="5" t="s">
        <v>22</v>
      </c>
    </row>
    <row r="527" spans="1:3" x14ac:dyDescent="0.2">
      <c r="A527" s="5">
        <v>525</v>
      </c>
      <c r="B527" s="5">
        <f t="shared" ca="1" si="8"/>
        <v>0.60868821862368938</v>
      </c>
      <c r="C527" s="5" t="s">
        <v>21</v>
      </c>
    </row>
    <row r="528" spans="1:3" x14ac:dyDescent="0.2">
      <c r="A528" s="5">
        <v>526</v>
      </c>
      <c r="B528" s="5">
        <f t="shared" ca="1" si="8"/>
        <v>0.57842439348329</v>
      </c>
      <c r="C528" s="5" t="s">
        <v>22</v>
      </c>
    </row>
    <row r="529" spans="1:3" x14ac:dyDescent="0.2">
      <c r="A529" s="5">
        <v>527</v>
      </c>
      <c r="B529" s="5">
        <f t="shared" ca="1" si="8"/>
        <v>0.7829047423657427</v>
      </c>
      <c r="C529" s="5" t="s">
        <v>22</v>
      </c>
    </row>
    <row r="530" spans="1:3" x14ac:dyDescent="0.2">
      <c r="A530" s="5">
        <v>528</v>
      </c>
      <c r="B530" s="5">
        <f t="shared" ca="1" si="8"/>
        <v>0.63773503064596715</v>
      </c>
      <c r="C530" s="5" t="s">
        <v>21</v>
      </c>
    </row>
    <row r="531" spans="1:3" x14ac:dyDescent="0.2">
      <c r="A531" s="5">
        <v>529</v>
      </c>
      <c r="B531" s="5">
        <f t="shared" ca="1" si="8"/>
        <v>0.62252934820720163</v>
      </c>
      <c r="C531" s="5" t="s">
        <v>21</v>
      </c>
    </row>
    <row r="532" spans="1:3" x14ac:dyDescent="0.2">
      <c r="A532" s="5">
        <v>530</v>
      </c>
      <c r="B532" s="5">
        <f t="shared" ca="1" si="8"/>
        <v>0.49898865541653553</v>
      </c>
      <c r="C532" s="5" t="s">
        <v>22</v>
      </c>
    </row>
    <row r="533" spans="1:3" x14ac:dyDescent="0.2">
      <c r="A533" s="5">
        <v>531</v>
      </c>
      <c r="B533" s="5">
        <f t="shared" ca="1" si="8"/>
        <v>0.72389667271020852</v>
      </c>
      <c r="C533" s="5" t="s">
        <v>21</v>
      </c>
    </row>
    <row r="534" spans="1:3" x14ac:dyDescent="0.2">
      <c r="A534" s="5">
        <v>532</v>
      </c>
      <c r="B534" s="5">
        <f t="shared" ca="1" si="8"/>
        <v>0.61947612941199715</v>
      </c>
      <c r="C534" s="5" t="s">
        <v>22</v>
      </c>
    </row>
    <row r="535" spans="1:3" x14ac:dyDescent="0.2">
      <c r="A535" s="5">
        <v>533</v>
      </c>
      <c r="B535" s="5">
        <f t="shared" ca="1" si="8"/>
        <v>0.81583105735136829</v>
      </c>
      <c r="C535" s="5" t="s">
        <v>22</v>
      </c>
    </row>
    <row r="536" spans="1:3" x14ac:dyDescent="0.2">
      <c r="A536" s="5">
        <v>534</v>
      </c>
      <c r="B536" s="5">
        <f t="shared" ca="1" si="8"/>
        <v>0.78601641232787656</v>
      </c>
      <c r="C536" s="5" t="s">
        <v>21</v>
      </c>
    </row>
    <row r="537" spans="1:3" x14ac:dyDescent="0.2">
      <c r="A537" s="5">
        <v>535</v>
      </c>
      <c r="B537" s="5">
        <f t="shared" ca="1" si="8"/>
        <v>0.56943213039878648</v>
      </c>
      <c r="C537" s="5" t="s">
        <v>22</v>
      </c>
    </row>
    <row r="538" spans="1:3" x14ac:dyDescent="0.2">
      <c r="A538" s="5">
        <v>536</v>
      </c>
      <c r="B538" s="5">
        <f t="shared" ca="1" si="8"/>
        <v>0.78890298073090948</v>
      </c>
      <c r="C538" s="5" t="s">
        <v>22</v>
      </c>
    </row>
    <row r="539" spans="1:3" x14ac:dyDescent="0.2">
      <c r="A539" s="5">
        <v>537</v>
      </c>
      <c r="B539" s="5">
        <f t="shared" ca="1" si="8"/>
        <v>0.81246450889075184</v>
      </c>
      <c r="C539" s="5" t="s">
        <v>22</v>
      </c>
    </row>
    <row r="540" spans="1:3" x14ac:dyDescent="0.2">
      <c r="A540" s="5">
        <v>538</v>
      </c>
      <c r="B540" s="5">
        <f t="shared" ca="1" si="8"/>
        <v>0.72418190503082813</v>
      </c>
      <c r="C540" s="5" t="s">
        <v>21</v>
      </c>
    </row>
    <row r="541" spans="1:3" x14ac:dyDescent="0.2">
      <c r="A541" s="5">
        <v>539</v>
      </c>
      <c r="B541" s="5">
        <f t="shared" ca="1" si="8"/>
        <v>0.42772919359510653</v>
      </c>
      <c r="C541" s="5" t="s">
        <v>22</v>
      </c>
    </row>
    <row r="542" spans="1:3" x14ac:dyDescent="0.2">
      <c r="A542" s="5">
        <v>540</v>
      </c>
      <c r="B542" s="5">
        <f t="shared" ca="1" si="8"/>
        <v>0.65018630715810111</v>
      </c>
      <c r="C542" s="5" t="s">
        <v>22</v>
      </c>
    </row>
    <row r="543" spans="1:3" x14ac:dyDescent="0.2">
      <c r="A543" s="5">
        <v>541</v>
      </c>
      <c r="B543" s="5">
        <f t="shared" ca="1" si="8"/>
        <v>0.58605346409296688</v>
      </c>
      <c r="C543" s="5" t="s">
        <v>22</v>
      </c>
    </row>
    <row r="544" spans="1:3" x14ac:dyDescent="0.2">
      <c r="A544" s="5">
        <v>542</v>
      </c>
      <c r="B544" s="5">
        <f t="shared" ca="1" si="8"/>
        <v>0.91422794037844257</v>
      </c>
      <c r="C544" s="5" t="s">
        <v>21</v>
      </c>
    </row>
    <row r="545" spans="1:3" x14ac:dyDescent="0.2">
      <c r="A545" s="5">
        <v>543</v>
      </c>
      <c r="B545" s="5">
        <f t="shared" ca="1" si="8"/>
        <v>0.58864931780420027</v>
      </c>
      <c r="C545" s="5" t="s">
        <v>21</v>
      </c>
    </row>
    <row r="546" spans="1:3" x14ac:dyDescent="0.2">
      <c r="A546" s="5">
        <v>544</v>
      </c>
      <c r="B546" s="5">
        <f t="shared" ca="1" si="8"/>
        <v>0.51527410223940773</v>
      </c>
      <c r="C546" s="5" t="s">
        <v>21</v>
      </c>
    </row>
    <row r="547" spans="1:3" x14ac:dyDescent="0.2">
      <c r="A547" s="5">
        <v>545</v>
      </c>
      <c r="B547" s="5">
        <f t="shared" ca="1" si="8"/>
        <v>0.62194529055973136</v>
      </c>
      <c r="C547" s="5" t="s">
        <v>22</v>
      </c>
    </row>
    <row r="548" spans="1:3" x14ac:dyDescent="0.2">
      <c r="A548" s="5">
        <v>546</v>
      </c>
      <c r="B548" s="5">
        <f t="shared" ca="1" si="8"/>
        <v>0.66100174000694334</v>
      </c>
      <c r="C548" s="5" t="s">
        <v>22</v>
      </c>
    </row>
    <row r="549" spans="1:3" x14ac:dyDescent="0.2">
      <c r="A549" s="5">
        <v>547</v>
      </c>
      <c r="B549" s="5">
        <f t="shared" ca="1" si="8"/>
        <v>0.74777818373935023</v>
      </c>
      <c r="C549" s="5" t="s">
        <v>21</v>
      </c>
    </row>
    <row r="550" spans="1:3" x14ac:dyDescent="0.2">
      <c r="A550" s="5">
        <v>548</v>
      </c>
      <c r="B550" s="5">
        <f t="shared" ca="1" si="8"/>
        <v>0.75990021829920296</v>
      </c>
      <c r="C550" s="5" t="s">
        <v>21</v>
      </c>
    </row>
    <row r="551" spans="1:3" x14ac:dyDescent="0.2">
      <c r="A551" s="5">
        <v>549</v>
      </c>
      <c r="B551" s="5">
        <f t="shared" ca="1" si="8"/>
        <v>0.61801198719114803</v>
      </c>
      <c r="C551" s="5" t="s">
        <v>22</v>
      </c>
    </row>
    <row r="552" spans="1:3" x14ac:dyDescent="0.2">
      <c r="A552" s="5">
        <v>550</v>
      </c>
      <c r="B552" s="5">
        <f t="shared" ca="1" si="8"/>
        <v>0.76377228819705223</v>
      </c>
      <c r="C552" s="5" t="s">
        <v>21</v>
      </c>
    </row>
    <row r="553" spans="1:3" x14ac:dyDescent="0.2">
      <c r="A553" s="5">
        <v>551</v>
      </c>
      <c r="B553" s="5">
        <f t="shared" ca="1" si="8"/>
        <v>0.63680635351462789</v>
      </c>
      <c r="C553" s="5" t="s">
        <v>22</v>
      </c>
    </row>
    <row r="554" spans="1:3" x14ac:dyDescent="0.2">
      <c r="A554" s="5">
        <v>552</v>
      </c>
      <c r="B554" s="5">
        <f t="shared" ca="1" si="8"/>
        <v>0.54549100534010608</v>
      </c>
      <c r="C554" s="5" t="s">
        <v>22</v>
      </c>
    </row>
    <row r="555" spans="1:3" x14ac:dyDescent="0.2">
      <c r="A555" s="5">
        <v>553</v>
      </c>
      <c r="B555" s="5">
        <f t="shared" ca="1" si="8"/>
        <v>0.70505860607559012</v>
      </c>
      <c r="C555" s="5" t="s">
        <v>22</v>
      </c>
    </row>
    <row r="556" spans="1:3" x14ac:dyDescent="0.2">
      <c r="A556" s="5">
        <v>554</v>
      </c>
      <c r="B556" s="5">
        <f t="shared" ca="1" si="8"/>
        <v>0.76004286792190068</v>
      </c>
      <c r="C556" s="5" t="s">
        <v>21</v>
      </c>
    </row>
    <row r="557" spans="1:3" x14ac:dyDescent="0.2">
      <c r="A557" s="5">
        <v>555</v>
      </c>
      <c r="B557" s="5">
        <f t="shared" ca="1" si="8"/>
        <v>0.55353359225878762</v>
      </c>
      <c r="C557" s="5" t="s">
        <v>22</v>
      </c>
    </row>
    <row r="558" spans="1:3" x14ac:dyDescent="0.2">
      <c r="A558" s="5">
        <v>556</v>
      </c>
      <c r="B558" s="5">
        <f t="shared" ca="1" si="8"/>
        <v>0.76714544113236716</v>
      </c>
      <c r="C558" s="5" t="s">
        <v>21</v>
      </c>
    </row>
    <row r="559" spans="1:3" x14ac:dyDescent="0.2">
      <c r="A559" s="5">
        <v>557</v>
      </c>
      <c r="B559" s="5">
        <f t="shared" ca="1" si="8"/>
        <v>0.8770378078200789</v>
      </c>
      <c r="C559" s="5" t="s">
        <v>21</v>
      </c>
    </row>
    <row r="560" spans="1:3" x14ac:dyDescent="0.2">
      <c r="A560" s="5">
        <v>558</v>
      </c>
      <c r="B560" s="5">
        <f t="shared" ca="1" si="8"/>
        <v>0.58020273463469463</v>
      </c>
      <c r="C560" s="5" t="s">
        <v>22</v>
      </c>
    </row>
    <row r="561" spans="1:3" x14ac:dyDescent="0.2">
      <c r="A561" s="5">
        <v>559</v>
      </c>
      <c r="B561" s="5">
        <f t="shared" ca="1" si="8"/>
        <v>0.72349183062452427</v>
      </c>
      <c r="C561" s="5" t="s">
        <v>21</v>
      </c>
    </row>
    <row r="562" spans="1:3" x14ac:dyDescent="0.2">
      <c r="A562" s="5">
        <v>560</v>
      </c>
      <c r="B562" s="5">
        <f t="shared" ca="1" si="8"/>
        <v>0.52120728666605709</v>
      </c>
      <c r="C562" s="5" t="s">
        <v>22</v>
      </c>
    </row>
    <row r="563" spans="1:3" x14ac:dyDescent="0.2">
      <c r="A563" s="5">
        <v>561</v>
      </c>
      <c r="B563" s="5">
        <f t="shared" ca="1" si="8"/>
        <v>0.38138635610544652</v>
      </c>
      <c r="C563" s="5" t="s">
        <v>22</v>
      </c>
    </row>
    <row r="564" spans="1:3" x14ac:dyDescent="0.2">
      <c r="A564" s="5">
        <v>562</v>
      </c>
      <c r="B564" s="5">
        <f t="shared" ca="1" si="8"/>
        <v>0.59858398116239342</v>
      </c>
      <c r="C564" s="5" t="s">
        <v>22</v>
      </c>
    </row>
    <row r="565" spans="1:3" x14ac:dyDescent="0.2">
      <c r="A565" s="5">
        <v>563</v>
      </c>
      <c r="B565" s="5">
        <f t="shared" ca="1" si="8"/>
        <v>0.65551952895010979</v>
      </c>
      <c r="C565" s="5" t="s">
        <v>22</v>
      </c>
    </row>
    <row r="566" spans="1:3" x14ac:dyDescent="0.2">
      <c r="A566" s="5">
        <v>564</v>
      </c>
      <c r="B566" s="5">
        <f t="shared" ca="1" si="8"/>
        <v>0.69553986543724655</v>
      </c>
      <c r="C566" s="5" t="s">
        <v>22</v>
      </c>
    </row>
    <row r="567" spans="1:3" x14ac:dyDescent="0.2">
      <c r="A567" s="5">
        <v>565</v>
      </c>
      <c r="B567" s="5">
        <f t="shared" ca="1" si="8"/>
        <v>0.62623962019224433</v>
      </c>
      <c r="C567" s="5" t="s">
        <v>22</v>
      </c>
    </row>
    <row r="568" spans="1:3" x14ac:dyDescent="0.2">
      <c r="A568" s="5">
        <v>566</v>
      </c>
      <c r="B568" s="5">
        <f t="shared" ca="1" si="8"/>
        <v>0.63186354181173066</v>
      </c>
      <c r="C568" s="5" t="s">
        <v>21</v>
      </c>
    </row>
    <row r="569" spans="1:3" x14ac:dyDescent="0.2">
      <c r="A569" s="5">
        <v>567</v>
      </c>
      <c r="B569" s="5">
        <f t="shared" ca="1" si="8"/>
        <v>1.0273410537280065</v>
      </c>
      <c r="C569" s="5" t="s">
        <v>21</v>
      </c>
    </row>
    <row r="570" spans="1:3" x14ac:dyDescent="0.2">
      <c r="A570" s="5">
        <v>568</v>
      </c>
      <c r="B570" s="5">
        <f t="shared" ca="1" si="8"/>
        <v>0.65639853733521247</v>
      </c>
      <c r="C570" s="5" t="s">
        <v>21</v>
      </c>
    </row>
    <row r="571" spans="1:3" x14ac:dyDescent="0.2">
      <c r="A571" s="5">
        <v>569</v>
      </c>
      <c r="B571" s="5">
        <f t="shared" ca="1" si="8"/>
        <v>0.46949754543752753</v>
      </c>
      <c r="C571" s="5" t="s">
        <v>22</v>
      </c>
    </row>
    <row r="572" spans="1:3" x14ac:dyDescent="0.2">
      <c r="A572" s="5">
        <v>570</v>
      </c>
      <c r="B572" s="5">
        <f t="shared" ca="1" si="8"/>
        <v>0.65319437656696167</v>
      </c>
      <c r="C572" s="5" t="s">
        <v>21</v>
      </c>
    </row>
    <row r="573" spans="1:3" x14ac:dyDescent="0.2">
      <c r="A573" s="5">
        <v>571</v>
      </c>
      <c r="B573" s="5">
        <f t="shared" ca="1" si="8"/>
        <v>0.59586312921314477</v>
      </c>
      <c r="C573" s="5" t="s">
        <v>22</v>
      </c>
    </row>
    <row r="574" spans="1:3" x14ac:dyDescent="0.2">
      <c r="A574" s="5">
        <v>572</v>
      </c>
      <c r="B574" s="5">
        <f t="shared" ca="1" si="8"/>
        <v>0.60741495451793348</v>
      </c>
      <c r="C574" s="5" t="s">
        <v>21</v>
      </c>
    </row>
    <row r="575" spans="1:3" x14ac:dyDescent="0.2">
      <c r="A575" s="5">
        <v>573</v>
      </c>
      <c r="B575" s="5">
        <f t="shared" ca="1" si="8"/>
        <v>0.54490520493665118</v>
      </c>
      <c r="C575" s="5" t="s">
        <v>21</v>
      </c>
    </row>
    <row r="576" spans="1:3" x14ac:dyDescent="0.2">
      <c r="A576" s="5">
        <v>574</v>
      </c>
      <c r="B576" s="5">
        <f t="shared" ca="1" si="8"/>
        <v>0.53440894182816134</v>
      </c>
      <c r="C576" s="5" t="s">
        <v>21</v>
      </c>
    </row>
    <row r="577" spans="1:3" x14ac:dyDescent="0.2">
      <c r="A577" s="5">
        <v>575</v>
      </c>
      <c r="B577" s="5">
        <f t="shared" ca="1" si="8"/>
        <v>0.52912788139060674</v>
      </c>
      <c r="C577" s="5" t="s">
        <v>22</v>
      </c>
    </row>
    <row r="578" spans="1:3" x14ac:dyDescent="0.2">
      <c r="A578" s="5">
        <v>576</v>
      </c>
      <c r="B578" s="5">
        <f t="shared" ca="1" si="8"/>
        <v>0.44066981700099439</v>
      </c>
      <c r="C578" s="5" t="s">
        <v>22</v>
      </c>
    </row>
    <row r="579" spans="1:3" x14ac:dyDescent="0.2">
      <c r="A579" s="5">
        <v>577</v>
      </c>
      <c r="B579" s="5">
        <f t="shared" ca="1" si="8"/>
        <v>0.58904608620718646</v>
      </c>
      <c r="C579" s="5" t="s">
        <v>22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0.8429013354132997</v>
      </c>
      <c r="C580" s="5" t="s">
        <v>21</v>
      </c>
    </row>
    <row r="581" spans="1:3" x14ac:dyDescent="0.2">
      <c r="A581" s="5">
        <v>579</v>
      </c>
      <c r="B581" s="5">
        <f t="shared" ca="1" si="9"/>
        <v>0.61249355823410268</v>
      </c>
      <c r="C581" s="5" t="s">
        <v>21</v>
      </c>
    </row>
    <row r="582" spans="1:3" x14ac:dyDescent="0.2">
      <c r="A582" s="5">
        <v>580</v>
      </c>
      <c r="B582" s="5">
        <f t="shared" ca="1" si="9"/>
        <v>0.57079966657346959</v>
      </c>
      <c r="C582" s="5" t="s">
        <v>21</v>
      </c>
    </row>
    <row r="583" spans="1:3" x14ac:dyDescent="0.2">
      <c r="A583" s="5">
        <v>581</v>
      </c>
      <c r="B583" s="5">
        <f t="shared" ca="1" si="9"/>
        <v>0.64163987377788889</v>
      </c>
      <c r="C583" s="5" t="s">
        <v>22</v>
      </c>
    </row>
    <row r="584" spans="1:3" x14ac:dyDescent="0.2">
      <c r="A584" s="5">
        <v>582</v>
      </c>
      <c r="B584" s="5">
        <f t="shared" ca="1" si="9"/>
        <v>0.65602082080398316</v>
      </c>
      <c r="C584" s="5" t="s">
        <v>21</v>
      </c>
    </row>
    <row r="585" spans="1:3" x14ac:dyDescent="0.2">
      <c r="A585" s="5">
        <v>583</v>
      </c>
      <c r="B585" s="5">
        <f t="shared" ca="1" si="9"/>
        <v>0.62286591119487389</v>
      </c>
      <c r="C585" s="5" t="s">
        <v>22</v>
      </c>
    </row>
    <row r="586" spans="1:3" x14ac:dyDescent="0.2">
      <c r="A586" s="5">
        <v>584</v>
      </c>
      <c r="B586" s="5">
        <f t="shared" ca="1" si="9"/>
        <v>0.75491473315623492</v>
      </c>
      <c r="C586" s="5" t="s">
        <v>21</v>
      </c>
    </row>
    <row r="587" spans="1:3" x14ac:dyDescent="0.2">
      <c r="A587" s="5">
        <v>585</v>
      </c>
      <c r="B587" s="5">
        <f t="shared" ca="1" si="9"/>
        <v>0.43693093574342073</v>
      </c>
      <c r="C587" s="5" t="s">
        <v>22</v>
      </c>
    </row>
    <row r="588" spans="1:3" x14ac:dyDescent="0.2">
      <c r="A588" s="5">
        <v>586</v>
      </c>
      <c r="B588" s="5">
        <f t="shared" ca="1" si="9"/>
        <v>0.58356374762351415</v>
      </c>
      <c r="C588" s="5" t="s">
        <v>22</v>
      </c>
    </row>
    <row r="589" spans="1:3" x14ac:dyDescent="0.2">
      <c r="A589" s="5">
        <v>587</v>
      </c>
      <c r="B589" s="5">
        <f t="shared" ca="1" si="9"/>
        <v>0.50316989500511755</v>
      </c>
      <c r="C589" s="5" t="s">
        <v>21</v>
      </c>
    </row>
    <row r="590" spans="1:3" x14ac:dyDescent="0.2">
      <c r="A590" s="5">
        <v>588</v>
      </c>
      <c r="B590" s="5">
        <f t="shared" ca="1" si="9"/>
        <v>0.50250568542920959</v>
      </c>
      <c r="C590" s="5" t="s">
        <v>22</v>
      </c>
    </row>
    <row r="591" spans="1:3" x14ac:dyDescent="0.2">
      <c r="A591" s="5">
        <v>589</v>
      </c>
      <c r="B591" s="5">
        <f t="shared" ca="1" si="9"/>
        <v>0.84728844030373118</v>
      </c>
      <c r="C591" s="5" t="s">
        <v>22</v>
      </c>
    </row>
    <row r="592" spans="1:3" x14ac:dyDescent="0.2">
      <c r="A592" s="5">
        <v>590</v>
      </c>
      <c r="B592" s="5">
        <f t="shared" ca="1" si="9"/>
        <v>0.8596879081182095</v>
      </c>
      <c r="C592" s="5" t="s">
        <v>21</v>
      </c>
    </row>
    <row r="593" spans="1:3" x14ac:dyDescent="0.2">
      <c r="A593" s="5">
        <v>591</v>
      </c>
      <c r="B593" s="5">
        <f t="shared" ca="1" si="9"/>
        <v>0.64943103072291741</v>
      </c>
      <c r="C593" s="5" t="s">
        <v>22</v>
      </c>
    </row>
    <row r="594" spans="1:3" x14ac:dyDescent="0.2">
      <c r="A594" s="5">
        <v>592</v>
      </c>
      <c r="B594" s="5">
        <f t="shared" ca="1" si="9"/>
        <v>0.68514304251177682</v>
      </c>
      <c r="C594" s="5" t="s">
        <v>21</v>
      </c>
    </row>
    <row r="595" spans="1:3" x14ac:dyDescent="0.2">
      <c r="A595" s="5">
        <v>593</v>
      </c>
      <c r="B595" s="5">
        <f t="shared" ca="1" si="9"/>
        <v>0.86481037145728856</v>
      </c>
      <c r="C595" s="5" t="s">
        <v>22</v>
      </c>
    </row>
    <row r="596" spans="1:3" x14ac:dyDescent="0.2">
      <c r="A596" s="5">
        <v>594</v>
      </c>
      <c r="B596" s="5">
        <f t="shared" ca="1" si="9"/>
        <v>0.5934843787154358</v>
      </c>
      <c r="C596" s="5" t="s">
        <v>21</v>
      </c>
    </row>
    <row r="597" spans="1:3" x14ac:dyDescent="0.2">
      <c r="A597" s="5">
        <v>595</v>
      </c>
      <c r="B597" s="5">
        <f t="shared" ca="1" si="9"/>
        <v>0.63807727725718633</v>
      </c>
      <c r="C597" s="5" t="s">
        <v>21</v>
      </c>
    </row>
    <row r="598" spans="1:3" x14ac:dyDescent="0.2">
      <c r="A598" s="5">
        <v>596</v>
      </c>
      <c r="B598" s="5">
        <f t="shared" ca="1" si="9"/>
        <v>0.79699864551812427</v>
      </c>
      <c r="C598" s="5" t="s">
        <v>21</v>
      </c>
    </row>
    <row r="599" spans="1:3" x14ac:dyDescent="0.2">
      <c r="A599" s="5">
        <v>597</v>
      </c>
      <c r="B599" s="5">
        <f t="shared" ca="1" si="9"/>
        <v>0.63380351966545134</v>
      </c>
      <c r="C599" s="5" t="s">
        <v>21</v>
      </c>
    </row>
    <row r="600" spans="1:3" x14ac:dyDescent="0.2">
      <c r="A600" s="5">
        <v>598</v>
      </c>
      <c r="B600" s="5">
        <f t="shared" ca="1" si="9"/>
        <v>0.66550347013936573</v>
      </c>
      <c r="C600" s="5" t="s">
        <v>22</v>
      </c>
    </row>
    <row r="601" spans="1:3" x14ac:dyDescent="0.2">
      <c r="A601" s="5">
        <v>599</v>
      </c>
      <c r="B601" s="5">
        <f t="shared" ca="1" si="9"/>
        <v>0.70483480349245342</v>
      </c>
      <c r="C601" s="5" t="s">
        <v>21</v>
      </c>
    </row>
    <row r="602" spans="1:3" x14ac:dyDescent="0.2">
      <c r="A602" s="5">
        <v>600</v>
      </c>
      <c r="B602" s="5">
        <f t="shared" ca="1" si="9"/>
        <v>0.65079262261540805</v>
      </c>
      <c r="C602" s="5" t="s">
        <v>21</v>
      </c>
    </row>
    <row r="603" spans="1:3" x14ac:dyDescent="0.2">
      <c r="A603" s="5">
        <v>601</v>
      </c>
      <c r="B603" s="5">
        <f t="shared" ca="1" si="9"/>
        <v>0.53463130183167706</v>
      </c>
      <c r="C603" s="5" t="s">
        <v>22</v>
      </c>
    </row>
    <row r="604" spans="1:3" x14ac:dyDescent="0.2">
      <c r="A604" s="5">
        <v>602</v>
      </c>
      <c r="B604" s="5">
        <f t="shared" ca="1" si="9"/>
        <v>0.56799429057957029</v>
      </c>
      <c r="C604" s="5" t="s">
        <v>22</v>
      </c>
    </row>
    <row r="605" spans="1:3" x14ac:dyDescent="0.2">
      <c r="A605" s="5">
        <v>603</v>
      </c>
      <c r="B605" s="5">
        <f t="shared" ca="1" si="9"/>
        <v>0.63648782153197114</v>
      </c>
      <c r="C605" s="5" t="s">
        <v>22</v>
      </c>
    </row>
    <row r="606" spans="1:3" x14ac:dyDescent="0.2">
      <c r="A606" s="5">
        <v>604</v>
      </c>
      <c r="B606" s="5">
        <f t="shared" ca="1" si="9"/>
        <v>0.63116110128540104</v>
      </c>
      <c r="C606" s="5" t="s">
        <v>21</v>
      </c>
    </row>
    <row r="607" spans="1:3" x14ac:dyDescent="0.2">
      <c r="A607" s="5">
        <v>605</v>
      </c>
      <c r="B607" s="5">
        <f t="shared" ca="1" si="9"/>
        <v>0.35631205435061408</v>
      </c>
      <c r="C607" s="5" t="s">
        <v>22</v>
      </c>
    </row>
    <row r="608" spans="1:3" x14ac:dyDescent="0.2">
      <c r="A608" s="5">
        <v>606</v>
      </c>
      <c r="B608" s="5">
        <f t="shared" ca="1" si="9"/>
        <v>0.83397514968466058</v>
      </c>
      <c r="C608" s="5" t="s">
        <v>21</v>
      </c>
    </row>
    <row r="609" spans="1:3" x14ac:dyDescent="0.2">
      <c r="A609" s="5">
        <v>607</v>
      </c>
      <c r="B609" s="5">
        <f t="shared" ca="1" si="9"/>
        <v>0.78882250409605947</v>
      </c>
      <c r="C609" s="5" t="s">
        <v>22</v>
      </c>
    </row>
    <row r="610" spans="1:3" x14ac:dyDescent="0.2">
      <c r="A610" s="5">
        <v>608</v>
      </c>
      <c r="B610" s="5">
        <f t="shared" ca="1" si="9"/>
        <v>0.71700394929623812</v>
      </c>
      <c r="C610" s="5" t="s">
        <v>21</v>
      </c>
    </row>
    <row r="611" spans="1:3" x14ac:dyDescent="0.2">
      <c r="A611" s="5">
        <v>609</v>
      </c>
      <c r="B611" s="5">
        <f t="shared" ca="1" si="9"/>
        <v>0.37725339932016366</v>
      </c>
      <c r="C611" s="5" t="s">
        <v>22</v>
      </c>
    </row>
    <row r="612" spans="1:3" x14ac:dyDescent="0.2">
      <c r="A612" s="5">
        <v>610</v>
      </c>
      <c r="B612" s="5">
        <f t="shared" ca="1" si="9"/>
        <v>0.6565608484742419</v>
      </c>
      <c r="C612" s="5" t="s">
        <v>22</v>
      </c>
    </row>
    <row r="613" spans="1:3" x14ac:dyDescent="0.2">
      <c r="A613" s="5">
        <v>611</v>
      </c>
      <c r="B613" s="5">
        <f t="shared" ca="1" si="9"/>
        <v>0.83921183231251395</v>
      </c>
      <c r="C613" s="5" t="s">
        <v>21</v>
      </c>
    </row>
    <row r="614" spans="1:3" x14ac:dyDescent="0.2">
      <c r="A614" s="5">
        <v>612</v>
      </c>
      <c r="B614" s="5">
        <f t="shared" ca="1" si="9"/>
        <v>0.77273268751143276</v>
      </c>
      <c r="C614" s="5" t="s">
        <v>21</v>
      </c>
    </row>
    <row r="615" spans="1:3" x14ac:dyDescent="0.2">
      <c r="A615" s="5">
        <v>613</v>
      </c>
      <c r="B615" s="5">
        <f t="shared" ca="1" si="9"/>
        <v>0.74181793451872646</v>
      </c>
      <c r="C615" s="5" t="s">
        <v>22</v>
      </c>
    </row>
    <row r="616" spans="1:3" x14ac:dyDescent="0.2">
      <c r="A616" s="5">
        <v>614</v>
      </c>
      <c r="B616" s="5">
        <f t="shared" ca="1" si="9"/>
        <v>0.5928292231931428</v>
      </c>
      <c r="C616" s="5" t="s">
        <v>22</v>
      </c>
    </row>
    <row r="617" spans="1:3" x14ac:dyDescent="0.2">
      <c r="A617" s="5">
        <v>615</v>
      </c>
      <c r="B617" s="5">
        <f t="shared" ca="1" si="9"/>
        <v>0.63408296595451807</v>
      </c>
      <c r="C617" s="5" t="s">
        <v>22</v>
      </c>
    </row>
    <row r="618" spans="1:3" x14ac:dyDescent="0.2">
      <c r="A618" s="5">
        <v>616</v>
      </c>
      <c r="B618" s="5">
        <f t="shared" ca="1" si="9"/>
        <v>0.49774334387340724</v>
      </c>
      <c r="C618" s="5" t="s">
        <v>21</v>
      </c>
    </row>
    <row r="619" spans="1:3" x14ac:dyDescent="0.2">
      <c r="A619" s="5">
        <v>617</v>
      </c>
      <c r="B619" s="5">
        <f t="shared" ca="1" si="9"/>
        <v>0.74032969670105464</v>
      </c>
      <c r="C619" s="5" t="s">
        <v>21</v>
      </c>
    </row>
    <row r="620" spans="1:3" x14ac:dyDescent="0.2">
      <c r="A620" s="5">
        <v>618</v>
      </c>
      <c r="B620" s="5">
        <f t="shared" ca="1" si="9"/>
        <v>0.71254200542205082</v>
      </c>
      <c r="C620" s="5" t="s">
        <v>21</v>
      </c>
    </row>
    <row r="621" spans="1:3" x14ac:dyDescent="0.2">
      <c r="A621" s="5">
        <v>619</v>
      </c>
      <c r="B621" s="5">
        <f t="shared" ca="1" si="9"/>
        <v>0.63229126171810479</v>
      </c>
      <c r="C621" s="5" t="s">
        <v>22</v>
      </c>
    </row>
    <row r="622" spans="1:3" x14ac:dyDescent="0.2">
      <c r="A622" s="5">
        <v>620</v>
      </c>
      <c r="B622" s="5">
        <f t="shared" ca="1" si="9"/>
        <v>0.68600087657477493</v>
      </c>
      <c r="C622" s="5" t="s">
        <v>22</v>
      </c>
    </row>
    <row r="623" spans="1:3" x14ac:dyDescent="0.2">
      <c r="A623" s="5">
        <v>621</v>
      </c>
      <c r="B623" s="5">
        <f t="shared" ca="1" si="9"/>
        <v>0.69580543203154166</v>
      </c>
      <c r="C623" s="5" t="s">
        <v>21</v>
      </c>
    </row>
    <row r="624" spans="1:3" x14ac:dyDescent="0.2">
      <c r="A624" s="5">
        <v>622</v>
      </c>
      <c r="B624" s="5">
        <f t="shared" ca="1" si="9"/>
        <v>0.5065847654562865</v>
      </c>
      <c r="C624" s="5" t="s">
        <v>21</v>
      </c>
    </row>
    <row r="625" spans="1:3" x14ac:dyDescent="0.2">
      <c r="A625" s="5">
        <v>623</v>
      </c>
      <c r="B625" s="5">
        <f t="shared" ca="1" si="9"/>
        <v>0.65018000473339299</v>
      </c>
      <c r="C625" s="5" t="s">
        <v>21</v>
      </c>
    </row>
    <row r="626" spans="1:3" x14ac:dyDescent="0.2">
      <c r="A626" s="5">
        <v>624</v>
      </c>
      <c r="B626" s="5">
        <f t="shared" ca="1" si="9"/>
        <v>0.84079881855572713</v>
      </c>
      <c r="C626" s="5" t="s">
        <v>22</v>
      </c>
    </row>
    <row r="627" spans="1:3" x14ac:dyDescent="0.2">
      <c r="A627" s="5">
        <v>625</v>
      </c>
      <c r="B627" s="5">
        <f t="shared" ca="1" si="9"/>
        <v>0.71943312880217736</v>
      </c>
      <c r="C627" s="5" t="s">
        <v>21</v>
      </c>
    </row>
    <row r="628" spans="1:3" x14ac:dyDescent="0.2">
      <c r="A628" s="5">
        <v>626</v>
      </c>
      <c r="B628" s="5">
        <f t="shared" ca="1" si="9"/>
        <v>0.5588474644524517</v>
      </c>
      <c r="C628" s="5" t="s">
        <v>22</v>
      </c>
    </row>
    <row r="629" spans="1:3" x14ac:dyDescent="0.2">
      <c r="A629" s="5">
        <v>627</v>
      </c>
      <c r="B629" s="5">
        <f t="shared" ca="1" si="9"/>
        <v>0.4576309922984384</v>
      </c>
      <c r="C629" s="5" t="s">
        <v>22</v>
      </c>
    </row>
    <row r="630" spans="1:3" x14ac:dyDescent="0.2">
      <c r="A630" s="5">
        <v>628</v>
      </c>
      <c r="B630" s="5">
        <f t="shared" ca="1" si="9"/>
        <v>0.38425634360385613</v>
      </c>
      <c r="C630" s="5" t="s">
        <v>22</v>
      </c>
    </row>
    <row r="631" spans="1:3" x14ac:dyDescent="0.2">
      <c r="A631" s="5">
        <v>629</v>
      </c>
      <c r="B631" s="5">
        <f t="shared" ca="1" si="9"/>
        <v>0.52373544684977069</v>
      </c>
      <c r="C631" s="5" t="s">
        <v>22</v>
      </c>
    </row>
    <row r="632" spans="1:3" x14ac:dyDescent="0.2">
      <c r="A632" s="5">
        <v>630</v>
      </c>
      <c r="B632" s="5">
        <f t="shared" ca="1" si="9"/>
        <v>0.83922152750815526</v>
      </c>
      <c r="C632" s="5" t="s">
        <v>21</v>
      </c>
    </row>
    <row r="633" spans="1:3" x14ac:dyDescent="0.2">
      <c r="A633" s="5">
        <v>631</v>
      </c>
      <c r="B633" s="5">
        <f t="shared" ca="1" si="9"/>
        <v>0.62750502542065434</v>
      </c>
      <c r="C633" s="5" t="s">
        <v>21</v>
      </c>
    </row>
    <row r="634" spans="1:3" x14ac:dyDescent="0.2">
      <c r="A634" s="5">
        <v>632</v>
      </c>
      <c r="B634" s="5">
        <f t="shared" ca="1" si="9"/>
        <v>0.83292645972118784</v>
      </c>
      <c r="C634" s="5" t="s">
        <v>22</v>
      </c>
    </row>
    <row r="635" spans="1:3" x14ac:dyDescent="0.2">
      <c r="A635" s="5">
        <v>633</v>
      </c>
      <c r="B635" s="5">
        <f t="shared" ca="1" si="9"/>
        <v>0.76656379695168231</v>
      </c>
      <c r="C635" s="5" t="s">
        <v>21</v>
      </c>
    </row>
    <row r="636" spans="1:3" x14ac:dyDescent="0.2">
      <c r="A636" s="5">
        <v>634</v>
      </c>
      <c r="B636" s="5">
        <f t="shared" ca="1" si="9"/>
        <v>0.63164779905687407</v>
      </c>
      <c r="C636" s="5" t="s">
        <v>21</v>
      </c>
    </row>
    <row r="637" spans="1:3" x14ac:dyDescent="0.2">
      <c r="A637" s="5">
        <v>635</v>
      </c>
      <c r="B637" s="5">
        <f t="shared" ca="1" si="9"/>
        <v>0.82646823669356606</v>
      </c>
      <c r="C637" s="5" t="s">
        <v>21</v>
      </c>
    </row>
    <row r="638" spans="1:3" x14ac:dyDescent="0.2">
      <c r="A638" s="5">
        <v>636</v>
      </c>
      <c r="B638" s="5">
        <f t="shared" ca="1" si="9"/>
        <v>0.7968206970780487</v>
      </c>
      <c r="C638" s="5" t="s">
        <v>22</v>
      </c>
    </row>
    <row r="639" spans="1:3" x14ac:dyDescent="0.2">
      <c r="A639" s="5">
        <v>637</v>
      </c>
      <c r="B639" s="5">
        <f t="shared" ca="1" si="9"/>
        <v>0.89086823673798632</v>
      </c>
      <c r="C639" s="5" t="s">
        <v>22</v>
      </c>
    </row>
    <row r="640" spans="1:3" x14ac:dyDescent="0.2">
      <c r="A640" s="5">
        <v>638</v>
      </c>
      <c r="B640" s="5">
        <f t="shared" ca="1" si="9"/>
        <v>0.79681759848134681</v>
      </c>
      <c r="C640" s="5" t="s">
        <v>21</v>
      </c>
    </row>
    <row r="641" spans="1:3" x14ac:dyDescent="0.2">
      <c r="A641" s="5">
        <v>639</v>
      </c>
      <c r="B641" s="5">
        <f t="shared" ca="1" si="9"/>
        <v>0.77096544504510223</v>
      </c>
      <c r="C641" s="5" t="s">
        <v>22</v>
      </c>
    </row>
    <row r="642" spans="1:3" x14ac:dyDescent="0.2">
      <c r="A642" s="5">
        <v>640</v>
      </c>
      <c r="B642" s="5">
        <f t="shared" ca="1" si="9"/>
        <v>0.88891498805931235</v>
      </c>
      <c r="C642" s="5" t="s">
        <v>21</v>
      </c>
    </row>
    <row r="643" spans="1:3" x14ac:dyDescent="0.2">
      <c r="A643" s="5">
        <v>641</v>
      </c>
      <c r="B643" s="5">
        <f t="shared" ca="1" si="9"/>
        <v>0.60586712237529594</v>
      </c>
      <c r="C643" s="5" t="s">
        <v>21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0.57830491306136966</v>
      </c>
      <c r="C644" s="5" t="s">
        <v>22</v>
      </c>
    </row>
    <row r="645" spans="1:3" x14ac:dyDescent="0.2">
      <c r="A645" s="5">
        <v>643</v>
      </c>
      <c r="B645" s="5">
        <f t="shared" ca="1" si="10"/>
        <v>0.69424339944509184</v>
      </c>
      <c r="C645" s="5" t="s">
        <v>21</v>
      </c>
    </row>
    <row r="646" spans="1:3" x14ac:dyDescent="0.2">
      <c r="A646" s="5">
        <v>644</v>
      </c>
      <c r="B646" s="5">
        <f t="shared" ca="1" si="10"/>
        <v>0.51334318353090991</v>
      </c>
      <c r="C646" s="5" t="s">
        <v>22</v>
      </c>
    </row>
    <row r="647" spans="1:3" x14ac:dyDescent="0.2">
      <c r="A647" s="5">
        <v>645</v>
      </c>
      <c r="B647" s="5">
        <f t="shared" ca="1" si="10"/>
        <v>0.61719956317667535</v>
      </c>
      <c r="C647" s="5" t="s">
        <v>22</v>
      </c>
    </row>
    <row r="648" spans="1:3" x14ac:dyDescent="0.2">
      <c r="A648" s="5">
        <v>646</v>
      </c>
      <c r="B648" s="5">
        <f t="shared" ca="1" si="10"/>
        <v>0.65215616792997588</v>
      </c>
      <c r="C648" s="5" t="s">
        <v>22</v>
      </c>
    </row>
    <row r="649" spans="1:3" x14ac:dyDescent="0.2">
      <c r="A649" s="5">
        <v>647</v>
      </c>
      <c r="B649" s="5">
        <f t="shared" ca="1" si="10"/>
        <v>0.69021110292473753</v>
      </c>
      <c r="C649" s="5" t="s">
        <v>21</v>
      </c>
    </row>
    <row r="650" spans="1:3" x14ac:dyDescent="0.2">
      <c r="A650" s="5">
        <v>648</v>
      </c>
      <c r="B650" s="5">
        <f t="shared" ca="1" si="10"/>
        <v>0.66385800893393254</v>
      </c>
      <c r="C650" s="5" t="s">
        <v>21</v>
      </c>
    </row>
    <row r="651" spans="1:3" x14ac:dyDescent="0.2">
      <c r="A651" s="5">
        <v>649</v>
      </c>
      <c r="B651" s="5">
        <f t="shared" ca="1" si="10"/>
        <v>0.69936821092189272</v>
      </c>
      <c r="C651" s="5" t="s">
        <v>21</v>
      </c>
    </row>
    <row r="652" spans="1:3" x14ac:dyDescent="0.2">
      <c r="A652" s="5">
        <v>650</v>
      </c>
      <c r="B652" s="5">
        <f t="shared" ca="1" si="10"/>
        <v>0.59629556444441789</v>
      </c>
      <c r="C652" s="5" t="s">
        <v>21</v>
      </c>
    </row>
    <row r="653" spans="1:3" x14ac:dyDescent="0.2">
      <c r="A653" s="5">
        <v>651</v>
      </c>
      <c r="B653" s="5">
        <f t="shared" ca="1" si="10"/>
        <v>0.57204515407658196</v>
      </c>
      <c r="C653" s="5" t="s">
        <v>22</v>
      </c>
    </row>
    <row r="654" spans="1:3" x14ac:dyDescent="0.2">
      <c r="A654" s="5">
        <v>652</v>
      </c>
      <c r="B654" s="5">
        <f t="shared" ca="1" si="10"/>
        <v>0.45497630731350358</v>
      </c>
      <c r="C654" s="5" t="s">
        <v>22</v>
      </c>
    </row>
    <row r="655" spans="1:3" x14ac:dyDescent="0.2">
      <c r="A655" s="5">
        <v>653</v>
      </c>
      <c r="B655" s="5">
        <f t="shared" ca="1" si="10"/>
        <v>0.53425447201238685</v>
      </c>
      <c r="C655" s="5" t="s">
        <v>22</v>
      </c>
    </row>
    <row r="656" spans="1:3" x14ac:dyDescent="0.2">
      <c r="A656" s="5">
        <v>654</v>
      </c>
      <c r="B656" s="5">
        <f t="shared" ca="1" si="10"/>
        <v>0.28648460997365194</v>
      </c>
      <c r="C656" s="5" t="s">
        <v>22</v>
      </c>
    </row>
    <row r="657" spans="1:3" x14ac:dyDescent="0.2">
      <c r="A657" s="5">
        <v>655</v>
      </c>
      <c r="B657" s="5">
        <f t="shared" ca="1" si="10"/>
        <v>0.58493808940456005</v>
      </c>
      <c r="C657" s="5" t="s">
        <v>22</v>
      </c>
    </row>
    <row r="658" spans="1:3" x14ac:dyDescent="0.2">
      <c r="A658" s="5">
        <v>656</v>
      </c>
      <c r="B658" s="5">
        <f t="shared" ca="1" si="10"/>
        <v>0.62163835329765715</v>
      </c>
      <c r="C658" s="5" t="s">
        <v>22</v>
      </c>
    </row>
    <row r="659" spans="1:3" x14ac:dyDescent="0.2">
      <c r="A659" s="5">
        <v>657</v>
      </c>
      <c r="B659" s="5">
        <f t="shared" ca="1" si="10"/>
        <v>0.7726840089824828</v>
      </c>
      <c r="C659" s="5" t="s">
        <v>21</v>
      </c>
    </row>
    <row r="660" spans="1:3" x14ac:dyDescent="0.2">
      <c r="A660" s="5">
        <v>658</v>
      </c>
      <c r="B660" s="5">
        <f t="shared" ca="1" si="10"/>
        <v>0.59039810354226729</v>
      </c>
      <c r="C660" s="5" t="s">
        <v>22</v>
      </c>
    </row>
    <row r="661" spans="1:3" x14ac:dyDescent="0.2">
      <c r="A661" s="5">
        <v>659</v>
      </c>
      <c r="B661" s="5">
        <f t="shared" ca="1" si="10"/>
        <v>0.61094729460660768</v>
      </c>
      <c r="C661" s="5" t="s">
        <v>21</v>
      </c>
    </row>
    <row r="662" spans="1:3" x14ac:dyDescent="0.2">
      <c r="A662" s="5">
        <v>660</v>
      </c>
      <c r="B662" s="5">
        <f t="shared" ca="1" si="10"/>
        <v>0.50365971063621717</v>
      </c>
      <c r="C662" s="5" t="s">
        <v>22</v>
      </c>
    </row>
    <row r="663" spans="1:3" x14ac:dyDescent="0.2">
      <c r="A663" s="5">
        <v>661</v>
      </c>
      <c r="B663" s="5">
        <f t="shared" ca="1" si="10"/>
        <v>0.69345117163662973</v>
      </c>
      <c r="C663" s="5" t="s">
        <v>21</v>
      </c>
    </row>
    <row r="664" spans="1:3" x14ac:dyDescent="0.2">
      <c r="A664" s="5">
        <v>662</v>
      </c>
      <c r="B664" s="5">
        <f t="shared" ca="1" si="10"/>
        <v>0.54297006909549905</v>
      </c>
      <c r="C664" s="5" t="s">
        <v>22</v>
      </c>
    </row>
    <row r="665" spans="1:3" x14ac:dyDescent="0.2">
      <c r="A665" s="5">
        <v>663</v>
      </c>
      <c r="B665" s="5">
        <f t="shared" ca="1" si="10"/>
        <v>0.80160581449522605</v>
      </c>
      <c r="C665" s="5" t="s">
        <v>22</v>
      </c>
    </row>
    <row r="666" spans="1:3" x14ac:dyDescent="0.2">
      <c r="A666" s="5">
        <v>664</v>
      </c>
      <c r="B666" s="5">
        <f t="shared" ca="1" si="10"/>
        <v>0.76653212398968296</v>
      </c>
      <c r="C666" s="5" t="s">
        <v>21</v>
      </c>
    </row>
    <row r="667" spans="1:3" x14ac:dyDescent="0.2">
      <c r="A667" s="5">
        <v>665</v>
      </c>
      <c r="B667" s="5">
        <f t="shared" ca="1" si="10"/>
        <v>0.42358795001134897</v>
      </c>
      <c r="C667" s="5" t="s">
        <v>22</v>
      </c>
    </row>
    <row r="668" spans="1:3" x14ac:dyDescent="0.2">
      <c r="A668" s="5">
        <v>666</v>
      </c>
      <c r="B668" s="5">
        <f t="shared" ca="1" si="10"/>
        <v>0.71013031658810444</v>
      </c>
      <c r="C668" s="5" t="s">
        <v>22</v>
      </c>
    </row>
    <row r="669" spans="1:3" x14ac:dyDescent="0.2">
      <c r="A669" s="5">
        <v>667</v>
      </c>
      <c r="B669" s="5">
        <f t="shared" ca="1" si="10"/>
        <v>0.61165846595856133</v>
      </c>
      <c r="C669" s="5" t="s">
        <v>21</v>
      </c>
    </row>
    <row r="670" spans="1:3" x14ac:dyDescent="0.2">
      <c r="A670" s="5">
        <v>668</v>
      </c>
      <c r="B670" s="5">
        <f t="shared" ca="1" si="10"/>
        <v>0.5131719498328664</v>
      </c>
      <c r="C670" s="5" t="s">
        <v>22</v>
      </c>
    </row>
    <row r="671" spans="1:3" x14ac:dyDescent="0.2">
      <c r="A671" s="5">
        <v>669</v>
      </c>
      <c r="B671" s="5">
        <f t="shared" ca="1" si="10"/>
        <v>0.51151170628277254</v>
      </c>
      <c r="C671" s="5" t="s">
        <v>22</v>
      </c>
    </row>
    <row r="672" spans="1:3" x14ac:dyDescent="0.2">
      <c r="A672" s="5">
        <v>670</v>
      </c>
      <c r="B672" s="5">
        <f t="shared" ca="1" si="10"/>
        <v>0.63590364283072753</v>
      </c>
      <c r="C672" s="5" t="s">
        <v>22</v>
      </c>
    </row>
    <row r="673" spans="1:3" x14ac:dyDescent="0.2">
      <c r="A673" s="5">
        <v>671</v>
      </c>
      <c r="B673" s="5">
        <f t="shared" ca="1" si="10"/>
        <v>0.7502145648573072</v>
      </c>
      <c r="C673" s="5" t="s">
        <v>22</v>
      </c>
    </row>
    <row r="674" spans="1:3" x14ac:dyDescent="0.2">
      <c r="A674" s="5">
        <v>672</v>
      </c>
      <c r="B674" s="5">
        <f t="shared" ca="1" si="10"/>
        <v>0.52489412310115746</v>
      </c>
      <c r="C674" s="5" t="s">
        <v>22</v>
      </c>
    </row>
    <row r="675" spans="1:3" x14ac:dyDescent="0.2">
      <c r="A675" s="5">
        <v>673</v>
      </c>
      <c r="B675" s="5">
        <f t="shared" ca="1" si="10"/>
        <v>0.66732056240252402</v>
      </c>
      <c r="C675" s="5" t="s">
        <v>22</v>
      </c>
    </row>
    <row r="676" spans="1:3" x14ac:dyDescent="0.2">
      <c r="A676" s="5">
        <v>674</v>
      </c>
      <c r="B676" s="5">
        <f t="shared" ca="1" si="10"/>
        <v>0.73003091393429831</v>
      </c>
      <c r="C676" s="5" t="s">
        <v>21</v>
      </c>
    </row>
    <row r="677" spans="1:3" x14ac:dyDescent="0.2">
      <c r="A677" s="5">
        <v>675</v>
      </c>
      <c r="B677" s="5">
        <f t="shared" ca="1" si="10"/>
        <v>0.44410726347245749</v>
      </c>
      <c r="C677" s="5" t="s">
        <v>22</v>
      </c>
    </row>
    <row r="678" spans="1:3" x14ac:dyDescent="0.2">
      <c r="A678" s="5">
        <v>676</v>
      </c>
      <c r="B678" s="5">
        <f t="shared" ca="1" si="10"/>
        <v>0.72651406346262715</v>
      </c>
      <c r="C678" s="5" t="s">
        <v>21</v>
      </c>
    </row>
    <row r="679" spans="1:3" x14ac:dyDescent="0.2">
      <c r="A679" s="5">
        <v>677</v>
      </c>
      <c r="B679" s="5">
        <f t="shared" ca="1" si="10"/>
        <v>0.69716303302060234</v>
      </c>
      <c r="C679" s="5" t="s">
        <v>22</v>
      </c>
    </row>
    <row r="680" spans="1:3" x14ac:dyDescent="0.2">
      <c r="A680" s="5">
        <v>678</v>
      </c>
      <c r="B680" s="5">
        <f t="shared" ca="1" si="10"/>
        <v>0.53489098994722095</v>
      </c>
      <c r="C680" s="5" t="s">
        <v>21</v>
      </c>
    </row>
    <row r="681" spans="1:3" x14ac:dyDescent="0.2">
      <c r="A681" s="5">
        <v>679</v>
      </c>
      <c r="B681" s="5">
        <f t="shared" ca="1" si="10"/>
        <v>0.54995159236317925</v>
      </c>
      <c r="C681" s="5" t="s">
        <v>22</v>
      </c>
    </row>
    <row r="682" spans="1:3" x14ac:dyDescent="0.2">
      <c r="A682" s="5">
        <v>680</v>
      </c>
      <c r="B682" s="5">
        <f t="shared" ca="1" si="10"/>
        <v>0.57480482395277654</v>
      </c>
      <c r="C682" s="5" t="s">
        <v>22</v>
      </c>
    </row>
    <row r="683" spans="1:3" x14ac:dyDescent="0.2">
      <c r="A683" s="5">
        <v>681</v>
      </c>
      <c r="B683" s="5">
        <f t="shared" ca="1" si="10"/>
        <v>0.55873402459881794</v>
      </c>
      <c r="C683" s="5" t="s">
        <v>22</v>
      </c>
    </row>
    <row r="684" spans="1:3" x14ac:dyDescent="0.2">
      <c r="A684" s="5">
        <v>682</v>
      </c>
      <c r="B684" s="5">
        <f t="shared" ca="1" si="10"/>
        <v>0.61586551731913264</v>
      </c>
      <c r="C684" s="5" t="s">
        <v>22</v>
      </c>
    </row>
    <row r="685" spans="1:3" x14ac:dyDescent="0.2">
      <c r="A685" s="5">
        <v>683</v>
      </c>
      <c r="B685" s="5">
        <f t="shared" ca="1" si="10"/>
        <v>0.68807939088884429</v>
      </c>
      <c r="C685" s="5" t="s">
        <v>22</v>
      </c>
    </row>
    <row r="686" spans="1:3" x14ac:dyDescent="0.2">
      <c r="A686" s="5">
        <v>684</v>
      </c>
      <c r="B686" s="5">
        <f t="shared" ca="1" si="10"/>
        <v>0.18001089038400703</v>
      </c>
      <c r="C686" s="5" t="s">
        <v>22</v>
      </c>
    </row>
    <row r="687" spans="1:3" x14ac:dyDescent="0.2">
      <c r="A687" s="5">
        <v>685</v>
      </c>
      <c r="B687" s="5">
        <f t="shared" ca="1" si="10"/>
        <v>0.71767243589475638</v>
      </c>
      <c r="C687" s="5" t="s">
        <v>21</v>
      </c>
    </row>
    <row r="688" spans="1:3" x14ac:dyDescent="0.2">
      <c r="A688" s="5">
        <v>686</v>
      </c>
      <c r="B688" s="5">
        <f t="shared" ca="1" si="10"/>
        <v>0.72605252333693859</v>
      </c>
      <c r="C688" s="5" t="s">
        <v>22</v>
      </c>
    </row>
    <row r="689" spans="1:3" x14ac:dyDescent="0.2">
      <c r="A689" s="5">
        <v>687</v>
      </c>
      <c r="B689" s="5">
        <f t="shared" ca="1" si="10"/>
        <v>0.68877108394215603</v>
      </c>
      <c r="C689" s="5" t="s">
        <v>22</v>
      </c>
    </row>
    <row r="690" spans="1:3" x14ac:dyDescent="0.2">
      <c r="A690" s="5">
        <v>688</v>
      </c>
      <c r="B690" s="5">
        <f t="shared" ca="1" si="10"/>
        <v>0.68157815073253492</v>
      </c>
      <c r="C690" s="5" t="s">
        <v>22</v>
      </c>
    </row>
    <row r="691" spans="1:3" x14ac:dyDescent="0.2">
      <c r="A691" s="5">
        <v>689</v>
      </c>
      <c r="B691" s="5">
        <f t="shared" ca="1" si="10"/>
        <v>0.61837057599819467</v>
      </c>
      <c r="C691" s="5" t="s">
        <v>22</v>
      </c>
    </row>
    <row r="692" spans="1:3" x14ac:dyDescent="0.2">
      <c r="A692" s="5">
        <v>690</v>
      </c>
      <c r="B692" s="5">
        <f t="shared" ca="1" si="10"/>
        <v>0.56918316921723333</v>
      </c>
      <c r="C692" s="5" t="s">
        <v>21</v>
      </c>
    </row>
    <row r="693" spans="1:3" x14ac:dyDescent="0.2">
      <c r="A693" s="5">
        <v>691</v>
      </c>
      <c r="B693" s="5">
        <f t="shared" ca="1" si="10"/>
        <v>0.62456567371091076</v>
      </c>
      <c r="C693" s="5" t="s">
        <v>21</v>
      </c>
    </row>
    <row r="694" spans="1:3" x14ac:dyDescent="0.2">
      <c r="A694" s="5">
        <v>692</v>
      </c>
      <c r="B694" s="5">
        <f t="shared" ca="1" si="10"/>
        <v>0.59561445991900341</v>
      </c>
      <c r="C694" s="5" t="s">
        <v>21</v>
      </c>
    </row>
    <row r="695" spans="1:3" x14ac:dyDescent="0.2">
      <c r="A695" s="5">
        <v>693</v>
      </c>
      <c r="B695" s="5">
        <f t="shared" ca="1" si="10"/>
        <v>0.77497508173893725</v>
      </c>
      <c r="C695" s="5" t="s">
        <v>21</v>
      </c>
    </row>
    <row r="696" spans="1:3" x14ac:dyDescent="0.2">
      <c r="A696" s="5">
        <v>694</v>
      </c>
      <c r="B696" s="5">
        <f t="shared" ca="1" si="10"/>
        <v>0.686320538160066</v>
      </c>
      <c r="C696" s="5" t="s">
        <v>22</v>
      </c>
    </row>
    <row r="697" spans="1:3" x14ac:dyDescent="0.2">
      <c r="A697" s="5">
        <v>695</v>
      </c>
      <c r="B697" s="5">
        <f t="shared" ca="1" si="10"/>
        <v>0.51740256935847517</v>
      </c>
      <c r="C697" s="5" t="s">
        <v>22</v>
      </c>
    </row>
    <row r="698" spans="1:3" x14ac:dyDescent="0.2">
      <c r="A698" s="5">
        <v>696</v>
      </c>
      <c r="B698" s="5">
        <f t="shared" ca="1" si="10"/>
        <v>0.56514956149646178</v>
      </c>
      <c r="C698" s="5" t="s">
        <v>22</v>
      </c>
    </row>
    <row r="699" spans="1:3" x14ac:dyDescent="0.2">
      <c r="A699" s="5">
        <v>697</v>
      </c>
      <c r="B699" s="5">
        <f t="shared" ca="1" si="10"/>
        <v>0.61246507359869629</v>
      </c>
      <c r="C699" s="5" t="s">
        <v>22</v>
      </c>
    </row>
    <row r="700" spans="1:3" x14ac:dyDescent="0.2">
      <c r="A700" s="5">
        <v>698</v>
      </c>
      <c r="B700" s="5">
        <f t="shared" ca="1" si="10"/>
        <v>0.62986145450269504</v>
      </c>
      <c r="C700" s="5" t="s">
        <v>21</v>
      </c>
    </row>
    <row r="701" spans="1:3" x14ac:dyDescent="0.2">
      <c r="A701" s="5">
        <v>699</v>
      </c>
      <c r="B701" s="5">
        <f t="shared" ca="1" si="10"/>
        <v>0.60087883870903458</v>
      </c>
      <c r="C701" s="5" t="s">
        <v>22</v>
      </c>
    </row>
    <row r="702" spans="1:3" x14ac:dyDescent="0.2">
      <c r="A702" s="5">
        <v>700</v>
      </c>
      <c r="B702" s="5">
        <f t="shared" ca="1" si="10"/>
        <v>0.68083354786334227</v>
      </c>
      <c r="C702" s="5" t="s">
        <v>22</v>
      </c>
    </row>
    <row r="703" spans="1:3" x14ac:dyDescent="0.2">
      <c r="A703" s="5">
        <v>701</v>
      </c>
      <c r="B703" s="5">
        <f t="shared" ca="1" si="10"/>
        <v>0.52972244412070058</v>
      </c>
      <c r="C703" s="5" t="s">
        <v>22</v>
      </c>
    </row>
    <row r="704" spans="1:3" x14ac:dyDescent="0.2">
      <c r="A704" s="5">
        <v>702</v>
      </c>
      <c r="B704" s="5">
        <f t="shared" ca="1" si="10"/>
        <v>0.56234512520327418</v>
      </c>
      <c r="C704" s="5" t="s">
        <v>22</v>
      </c>
    </row>
    <row r="705" spans="1:3" x14ac:dyDescent="0.2">
      <c r="A705" s="5">
        <v>703</v>
      </c>
      <c r="B705" s="5">
        <f t="shared" ca="1" si="10"/>
        <v>0.98896420765262438</v>
      </c>
      <c r="C705" s="5" t="s">
        <v>21</v>
      </c>
    </row>
    <row r="706" spans="1:3" x14ac:dyDescent="0.2">
      <c r="A706" s="5">
        <v>704</v>
      </c>
      <c r="B706" s="5">
        <f t="shared" ca="1" si="10"/>
        <v>0.86149753762996983</v>
      </c>
      <c r="C706" s="5" t="s">
        <v>21</v>
      </c>
    </row>
    <row r="707" spans="1:3" x14ac:dyDescent="0.2">
      <c r="A707" s="5">
        <v>705</v>
      </c>
      <c r="B707" s="5">
        <f t="shared" ca="1" si="10"/>
        <v>0.78011881109265069</v>
      </c>
      <c r="C707" s="5" t="s">
        <v>22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0.86101841223301556</v>
      </c>
      <c r="C708" s="5" t="s">
        <v>22</v>
      </c>
    </row>
    <row r="709" spans="1:3" x14ac:dyDescent="0.2">
      <c r="A709" s="5">
        <v>707</v>
      </c>
      <c r="B709" s="5">
        <f t="shared" ca="1" si="11"/>
        <v>0.42635861438145162</v>
      </c>
      <c r="C709" s="5" t="s">
        <v>22</v>
      </c>
    </row>
    <row r="710" spans="1:3" x14ac:dyDescent="0.2">
      <c r="A710" s="5">
        <v>708</v>
      </c>
      <c r="B710" s="5">
        <f t="shared" ca="1" si="11"/>
        <v>0.63801660529924387</v>
      </c>
      <c r="C710" s="5" t="s">
        <v>21</v>
      </c>
    </row>
    <row r="711" spans="1:3" x14ac:dyDescent="0.2">
      <c r="A711" s="5">
        <v>709</v>
      </c>
      <c r="B711" s="5">
        <f t="shared" ca="1" si="11"/>
        <v>0.65110996690296252</v>
      </c>
      <c r="C711" s="5" t="s">
        <v>21</v>
      </c>
    </row>
    <row r="712" spans="1:3" x14ac:dyDescent="0.2">
      <c r="A712" s="5">
        <v>710</v>
      </c>
      <c r="B712" s="5">
        <f t="shared" ca="1" si="11"/>
        <v>0.66230661922496115</v>
      </c>
      <c r="C712" s="5" t="s">
        <v>21</v>
      </c>
    </row>
    <row r="713" spans="1:3" x14ac:dyDescent="0.2">
      <c r="A713" s="5">
        <v>711</v>
      </c>
      <c r="B713" s="5">
        <f t="shared" ca="1" si="11"/>
        <v>0.41319453659074756</v>
      </c>
      <c r="C713" s="5" t="s">
        <v>22</v>
      </c>
    </row>
    <row r="714" spans="1:3" x14ac:dyDescent="0.2">
      <c r="A714" s="5">
        <v>712</v>
      </c>
      <c r="B714" s="5">
        <f t="shared" ca="1" si="11"/>
        <v>0.61910173787523326</v>
      </c>
      <c r="C714" s="5" t="s">
        <v>21</v>
      </c>
    </row>
    <row r="715" spans="1:3" x14ac:dyDescent="0.2">
      <c r="A715" s="5">
        <v>713</v>
      </c>
      <c r="B715" s="5">
        <f t="shared" ca="1" si="11"/>
        <v>0.78926823497704479</v>
      </c>
      <c r="C715" s="5" t="s">
        <v>22</v>
      </c>
    </row>
    <row r="716" spans="1:3" x14ac:dyDescent="0.2">
      <c r="A716" s="5">
        <v>714</v>
      </c>
      <c r="B716" s="5">
        <f t="shared" ca="1" si="11"/>
        <v>0.53228589015897798</v>
      </c>
      <c r="C716" s="5" t="s">
        <v>22</v>
      </c>
    </row>
    <row r="717" spans="1:3" x14ac:dyDescent="0.2">
      <c r="A717" s="5">
        <v>715</v>
      </c>
      <c r="B717" s="5">
        <f t="shared" ca="1" si="11"/>
        <v>0.44644548885779634</v>
      </c>
      <c r="C717" s="5" t="s">
        <v>22</v>
      </c>
    </row>
    <row r="718" spans="1:3" x14ac:dyDescent="0.2">
      <c r="A718" s="5">
        <v>716</v>
      </c>
      <c r="B718" s="5">
        <f t="shared" ca="1" si="11"/>
        <v>0.64365803304290514</v>
      </c>
      <c r="C718" s="5" t="s">
        <v>21</v>
      </c>
    </row>
    <row r="719" spans="1:3" x14ac:dyDescent="0.2">
      <c r="A719" s="5">
        <v>717</v>
      </c>
      <c r="B719" s="5">
        <f t="shared" ca="1" si="11"/>
        <v>0.64902360792165437</v>
      </c>
      <c r="C719" s="5" t="s">
        <v>22</v>
      </c>
    </row>
    <row r="720" spans="1:3" x14ac:dyDescent="0.2">
      <c r="A720" s="5">
        <v>718</v>
      </c>
      <c r="B720" s="5">
        <f t="shared" ca="1" si="11"/>
        <v>0.66861101575696369</v>
      </c>
      <c r="C720" s="5" t="s">
        <v>22</v>
      </c>
    </row>
    <row r="721" spans="1:3" x14ac:dyDescent="0.2">
      <c r="A721" s="5">
        <v>719</v>
      </c>
      <c r="B721" s="5">
        <f t="shared" ca="1" si="11"/>
        <v>0.71528881119258803</v>
      </c>
      <c r="C721" s="5" t="s">
        <v>22</v>
      </c>
    </row>
    <row r="722" spans="1:3" x14ac:dyDescent="0.2">
      <c r="A722" s="5">
        <v>720</v>
      </c>
      <c r="B722" s="5">
        <f t="shared" ca="1" si="11"/>
        <v>0.46582255034521991</v>
      </c>
      <c r="C722" s="5" t="s">
        <v>22</v>
      </c>
    </row>
    <row r="723" spans="1:3" x14ac:dyDescent="0.2">
      <c r="A723" s="5">
        <v>721</v>
      </c>
      <c r="B723" s="5">
        <f t="shared" ca="1" si="11"/>
        <v>0.62936717989105806</v>
      </c>
      <c r="C723" s="5" t="s">
        <v>21</v>
      </c>
    </row>
    <row r="724" spans="1:3" x14ac:dyDescent="0.2">
      <c r="A724" s="5">
        <v>722</v>
      </c>
      <c r="B724" s="5">
        <f t="shared" ca="1" si="11"/>
        <v>0.41543384155599883</v>
      </c>
      <c r="C724" s="5" t="s">
        <v>22</v>
      </c>
    </row>
    <row r="725" spans="1:3" x14ac:dyDescent="0.2">
      <c r="A725" s="5">
        <v>723</v>
      </c>
      <c r="B725" s="5">
        <f t="shared" ca="1" si="11"/>
        <v>0.64726419181644046</v>
      </c>
      <c r="C725" s="5" t="s">
        <v>21</v>
      </c>
    </row>
    <row r="726" spans="1:3" x14ac:dyDescent="0.2">
      <c r="A726" s="5">
        <v>724</v>
      </c>
      <c r="B726" s="5">
        <f t="shared" ca="1" si="11"/>
        <v>0.65918321567612292</v>
      </c>
      <c r="C726" s="5" t="s">
        <v>21</v>
      </c>
    </row>
    <row r="727" spans="1:3" x14ac:dyDescent="0.2">
      <c r="A727" s="5">
        <v>725</v>
      </c>
      <c r="B727" s="5">
        <f t="shared" ca="1" si="11"/>
        <v>0.52447933795155199</v>
      </c>
      <c r="C727" s="5" t="s">
        <v>22</v>
      </c>
    </row>
    <row r="728" spans="1:3" x14ac:dyDescent="0.2">
      <c r="A728" s="5">
        <v>726</v>
      </c>
      <c r="B728" s="5">
        <f t="shared" ca="1" si="11"/>
        <v>0.66003929748046897</v>
      </c>
      <c r="C728" s="5" t="s">
        <v>22</v>
      </c>
    </row>
    <row r="729" spans="1:3" x14ac:dyDescent="0.2">
      <c r="A729" s="5">
        <v>727</v>
      </c>
      <c r="B729" s="5">
        <f t="shared" ca="1" si="11"/>
        <v>0.83376485328379191</v>
      </c>
      <c r="C729" s="5" t="s">
        <v>21</v>
      </c>
    </row>
    <row r="730" spans="1:3" x14ac:dyDescent="0.2">
      <c r="A730" s="5">
        <v>728</v>
      </c>
      <c r="B730" s="5">
        <f t="shared" ca="1" si="11"/>
        <v>0.62164090257346238</v>
      </c>
      <c r="C730" s="5" t="s">
        <v>22</v>
      </c>
    </row>
    <row r="731" spans="1:3" x14ac:dyDescent="0.2">
      <c r="A731" s="5">
        <v>729</v>
      </c>
      <c r="B731" s="5">
        <f t="shared" ca="1" si="11"/>
        <v>0.62425454321202822</v>
      </c>
      <c r="C731" s="5" t="s">
        <v>21</v>
      </c>
    </row>
    <row r="732" spans="1:3" x14ac:dyDescent="0.2">
      <c r="A732" s="5">
        <v>730</v>
      </c>
      <c r="B732" s="5">
        <f t="shared" ca="1" si="11"/>
        <v>0.79762596317663215</v>
      </c>
      <c r="C732" s="5" t="s">
        <v>21</v>
      </c>
    </row>
    <row r="733" spans="1:3" x14ac:dyDescent="0.2">
      <c r="A733" s="5">
        <v>731</v>
      </c>
      <c r="B733" s="5">
        <f t="shared" ca="1" si="11"/>
        <v>0.91977729155993804</v>
      </c>
      <c r="C733" s="5" t="s">
        <v>21</v>
      </c>
    </row>
    <row r="734" spans="1:3" x14ac:dyDescent="0.2">
      <c r="A734" s="5">
        <v>732</v>
      </c>
      <c r="B734" s="5">
        <f t="shared" ca="1" si="11"/>
        <v>0.4863996199861203</v>
      </c>
      <c r="C734" s="5" t="s">
        <v>22</v>
      </c>
    </row>
    <row r="735" spans="1:3" x14ac:dyDescent="0.2">
      <c r="A735" s="5">
        <v>733</v>
      </c>
      <c r="B735" s="5">
        <f t="shared" ca="1" si="11"/>
        <v>0.54094902601857775</v>
      </c>
      <c r="C735" s="5" t="s">
        <v>22</v>
      </c>
    </row>
    <row r="736" spans="1:3" x14ac:dyDescent="0.2">
      <c r="A736" s="5">
        <v>734</v>
      </c>
      <c r="B736" s="5">
        <f t="shared" ca="1" si="11"/>
        <v>0.66630530713059932</v>
      </c>
      <c r="C736" s="5" t="s">
        <v>22</v>
      </c>
    </row>
    <row r="737" spans="1:3" x14ac:dyDescent="0.2">
      <c r="A737" s="5">
        <v>735</v>
      </c>
      <c r="B737" s="5">
        <f t="shared" ca="1" si="11"/>
        <v>0.74032158459192332</v>
      </c>
      <c r="C737" s="5" t="s">
        <v>21</v>
      </c>
    </row>
    <row r="738" spans="1:3" x14ac:dyDescent="0.2">
      <c r="A738" s="5">
        <v>736</v>
      </c>
      <c r="B738" s="5">
        <f t="shared" ca="1" si="11"/>
        <v>0.74192350410109587</v>
      </c>
      <c r="C738" s="5" t="s">
        <v>21</v>
      </c>
    </row>
    <row r="739" spans="1:3" x14ac:dyDescent="0.2">
      <c r="A739" s="5">
        <v>737</v>
      </c>
      <c r="B739" s="5">
        <f t="shared" ca="1" si="11"/>
        <v>0.74745482750598646</v>
      </c>
      <c r="C739" s="5" t="s">
        <v>22</v>
      </c>
    </row>
    <row r="740" spans="1:3" x14ac:dyDescent="0.2">
      <c r="A740" s="5">
        <v>738</v>
      </c>
      <c r="B740" s="5">
        <f t="shared" ca="1" si="11"/>
        <v>0.4746851547431904</v>
      </c>
      <c r="C740" s="5" t="s">
        <v>22</v>
      </c>
    </row>
    <row r="741" spans="1:3" x14ac:dyDescent="0.2">
      <c r="A741" s="5">
        <v>739</v>
      </c>
      <c r="B741" s="5">
        <f t="shared" ca="1" si="11"/>
        <v>0.61684478082542171</v>
      </c>
      <c r="C741" s="5" t="s">
        <v>21</v>
      </c>
    </row>
    <row r="742" spans="1:3" x14ac:dyDescent="0.2">
      <c r="A742" s="5">
        <v>740</v>
      </c>
      <c r="B742" s="5">
        <f t="shared" ca="1" si="11"/>
        <v>0.62734779672082064</v>
      </c>
      <c r="C742" s="5" t="s">
        <v>22</v>
      </c>
    </row>
    <row r="743" spans="1:3" x14ac:dyDescent="0.2">
      <c r="A743" s="5">
        <v>741</v>
      </c>
      <c r="B743" s="5">
        <f t="shared" ca="1" si="11"/>
        <v>0.58261744141099636</v>
      </c>
      <c r="C743" s="5" t="s">
        <v>22</v>
      </c>
    </row>
    <row r="744" spans="1:3" x14ac:dyDescent="0.2">
      <c r="A744" s="5">
        <v>742</v>
      </c>
      <c r="B744" s="5">
        <f t="shared" ca="1" si="11"/>
        <v>0.60615199686087629</v>
      </c>
      <c r="C744" s="5" t="s">
        <v>22</v>
      </c>
    </row>
    <row r="745" spans="1:3" x14ac:dyDescent="0.2">
      <c r="A745" s="5">
        <v>743</v>
      </c>
      <c r="B745" s="5">
        <f t="shared" ca="1" si="11"/>
        <v>0.40223329023040005</v>
      </c>
      <c r="C745" s="5" t="s">
        <v>22</v>
      </c>
    </row>
    <row r="746" spans="1:3" x14ac:dyDescent="0.2">
      <c r="A746" s="5">
        <v>744</v>
      </c>
      <c r="B746" s="5">
        <f t="shared" ca="1" si="11"/>
        <v>0.48449428724316568</v>
      </c>
      <c r="C746" s="5" t="s">
        <v>22</v>
      </c>
    </row>
    <row r="747" spans="1:3" x14ac:dyDescent="0.2">
      <c r="A747" s="5">
        <v>745</v>
      </c>
      <c r="B747" s="5">
        <f t="shared" ca="1" si="11"/>
        <v>0.74180446204141726</v>
      </c>
      <c r="C747" s="5" t="s">
        <v>22</v>
      </c>
    </row>
    <row r="748" spans="1:3" x14ac:dyDescent="0.2">
      <c r="A748" s="5">
        <v>746</v>
      </c>
      <c r="B748" s="5">
        <f t="shared" ca="1" si="11"/>
        <v>0.68926255081759713</v>
      </c>
      <c r="C748" s="5" t="s">
        <v>21</v>
      </c>
    </row>
    <row r="749" spans="1:3" x14ac:dyDescent="0.2">
      <c r="A749" s="5">
        <v>747</v>
      </c>
      <c r="B749" s="5">
        <f t="shared" ca="1" si="11"/>
        <v>0.75895151625565915</v>
      </c>
      <c r="C749" s="5" t="s">
        <v>21</v>
      </c>
    </row>
    <row r="750" spans="1:3" x14ac:dyDescent="0.2">
      <c r="A750" s="5">
        <v>748</v>
      </c>
      <c r="B750" s="5">
        <f t="shared" ca="1" si="11"/>
        <v>0.86927030673081462</v>
      </c>
      <c r="C750" s="5" t="s">
        <v>22</v>
      </c>
    </row>
    <row r="751" spans="1:3" x14ac:dyDescent="0.2">
      <c r="A751" s="5">
        <v>749</v>
      </c>
      <c r="B751" s="5">
        <f t="shared" ca="1" si="11"/>
        <v>0.71969199597241718</v>
      </c>
      <c r="C751" s="5" t="s">
        <v>21</v>
      </c>
    </row>
    <row r="752" spans="1:3" x14ac:dyDescent="0.2">
      <c r="A752" s="5">
        <v>750</v>
      </c>
      <c r="B752" s="5">
        <f t="shared" ca="1" si="11"/>
        <v>0.44783632875102986</v>
      </c>
      <c r="C752" s="5" t="s">
        <v>22</v>
      </c>
    </row>
    <row r="753" spans="1:3" x14ac:dyDescent="0.2">
      <c r="A753" s="5">
        <v>751</v>
      </c>
      <c r="B753" s="5">
        <f t="shared" ca="1" si="11"/>
        <v>0.63669854527955472</v>
      </c>
      <c r="C753" s="5" t="s">
        <v>21</v>
      </c>
    </row>
    <row r="754" spans="1:3" x14ac:dyDescent="0.2">
      <c r="A754" s="5">
        <v>752</v>
      </c>
      <c r="B754" s="5">
        <f t="shared" ca="1" si="11"/>
        <v>0.74862950947663776</v>
      </c>
      <c r="C754" s="5" t="s">
        <v>21</v>
      </c>
    </row>
    <row r="755" spans="1:3" x14ac:dyDescent="0.2">
      <c r="A755" s="5">
        <v>753</v>
      </c>
      <c r="B755" s="5">
        <f t="shared" ca="1" si="11"/>
        <v>0.62843096796973152</v>
      </c>
      <c r="C755" s="5" t="s">
        <v>21</v>
      </c>
    </row>
    <row r="756" spans="1:3" x14ac:dyDescent="0.2">
      <c r="A756" s="5">
        <v>754</v>
      </c>
      <c r="B756" s="5">
        <f t="shared" ca="1" si="11"/>
        <v>0.6208803055652018</v>
      </c>
      <c r="C756" s="5" t="s">
        <v>21</v>
      </c>
    </row>
    <row r="757" spans="1:3" x14ac:dyDescent="0.2">
      <c r="A757" s="5">
        <v>755</v>
      </c>
      <c r="B757" s="5">
        <f t="shared" ca="1" si="11"/>
        <v>0.83974096119529917</v>
      </c>
      <c r="C757" s="5" t="s">
        <v>22</v>
      </c>
    </row>
    <row r="758" spans="1:3" x14ac:dyDescent="0.2">
      <c r="A758" s="5">
        <v>756</v>
      </c>
      <c r="B758" s="5">
        <f t="shared" ca="1" si="11"/>
        <v>0.6571539811817213</v>
      </c>
      <c r="C758" s="5" t="s">
        <v>21</v>
      </c>
    </row>
    <row r="759" spans="1:3" x14ac:dyDescent="0.2">
      <c r="A759" s="5">
        <v>757</v>
      </c>
      <c r="B759" s="5">
        <f t="shared" ca="1" si="11"/>
        <v>0.64629036281147645</v>
      </c>
      <c r="C759" s="5" t="s">
        <v>21</v>
      </c>
    </row>
    <row r="760" spans="1:3" x14ac:dyDescent="0.2">
      <c r="A760" s="5">
        <v>758</v>
      </c>
      <c r="B760" s="5">
        <f t="shared" ca="1" si="11"/>
        <v>0.6354435048796151</v>
      </c>
      <c r="C760" s="5" t="s">
        <v>21</v>
      </c>
    </row>
    <row r="761" spans="1:3" x14ac:dyDescent="0.2">
      <c r="A761" s="5">
        <v>759</v>
      </c>
      <c r="B761" s="5">
        <f t="shared" ca="1" si="11"/>
        <v>0.7056202420189589</v>
      </c>
      <c r="C761" s="5" t="s">
        <v>22</v>
      </c>
    </row>
    <row r="762" spans="1:3" x14ac:dyDescent="0.2">
      <c r="A762" s="5">
        <v>760</v>
      </c>
      <c r="B762" s="5">
        <f t="shared" ca="1" si="11"/>
        <v>0.64867225741189261</v>
      </c>
      <c r="C762" s="5" t="s">
        <v>21</v>
      </c>
    </row>
    <row r="763" spans="1:3" x14ac:dyDescent="0.2">
      <c r="A763" s="5">
        <v>761</v>
      </c>
      <c r="B763" s="5">
        <f t="shared" ca="1" si="11"/>
        <v>0.96554481373288947</v>
      </c>
      <c r="C763" s="5" t="s">
        <v>22</v>
      </c>
    </row>
    <row r="764" spans="1:3" x14ac:dyDescent="0.2">
      <c r="A764" s="5">
        <v>762</v>
      </c>
      <c r="B764" s="5">
        <f t="shared" ca="1" si="11"/>
        <v>0.84932054160315196</v>
      </c>
      <c r="C764" s="5" t="s">
        <v>22</v>
      </c>
    </row>
    <row r="765" spans="1:3" x14ac:dyDescent="0.2">
      <c r="A765" s="5">
        <v>763</v>
      </c>
      <c r="B765" s="5">
        <f t="shared" ca="1" si="11"/>
        <v>0.52511304854169949</v>
      </c>
      <c r="C765" s="5" t="s">
        <v>22</v>
      </c>
    </row>
    <row r="766" spans="1:3" x14ac:dyDescent="0.2">
      <c r="A766" s="5">
        <v>764</v>
      </c>
      <c r="B766" s="5">
        <f t="shared" ca="1" si="11"/>
        <v>0.45977948529350465</v>
      </c>
      <c r="C766" s="5" t="s">
        <v>22</v>
      </c>
    </row>
    <row r="767" spans="1:3" x14ac:dyDescent="0.2">
      <c r="A767" s="5">
        <v>765</v>
      </c>
      <c r="B767" s="5">
        <f t="shared" ca="1" si="11"/>
        <v>0.82642025038511524</v>
      </c>
      <c r="C767" s="5" t="s">
        <v>22</v>
      </c>
    </row>
    <row r="768" spans="1:3" x14ac:dyDescent="0.2">
      <c r="A768" s="5">
        <v>766</v>
      </c>
      <c r="B768" s="5">
        <f t="shared" ca="1" si="11"/>
        <v>0.69699913312173456</v>
      </c>
      <c r="C768" s="5" t="s">
        <v>22</v>
      </c>
    </row>
    <row r="769" spans="1:3" x14ac:dyDescent="0.2">
      <c r="A769" s="5">
        <v>767</v>
      </c>
      <c r="B769" s="5">
        <f t="shared" ca="1" si="11"/>
        <v>0.80688787478611979</v>
      </c>
      <c r="C769" s="5" t="s">
        <v>21</v>
      </c>
    </row>
    <row r="770" spans="1:3" x14ac:dyDescent="0.2">
      <c r="A770" s="5">
        <v>768</v>
      </c>
      <c r="B770" s="5">
        <f t="shared" ca="1" si="11"/>
        <v>0.71419498780710322</v>
      </c>
      <c r="C770" s="5" t="s">
        <v>21</v>
      </c>
    </row>
    <row r="771" spans="1:3" x14ac:dyDescent="0.2">
      <c r="A771" s="5">
        <v>769</v>
      </c>
      <c r="B771" s="5">
        <f t="shared" ca="1" si="11"/>
        <v>0.56579134787418495</v>
      </c>
      <c r="C771" s="5" t="s">
        <v>22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0.70482161602510018</v>
      </c>
      <c r="C772" s="5" t="s">
        <v>21</v>
      </c>
    </row>
    <row r="773" spans="1:3" x14ac:dyDescent="0.2">
      <c r="A773" s="5">
        <v>771</v>
      </c>
      <c r="B773" s="5">
        <f t="shared" ca="1" si="12"/>
        <v>0.66118854282664752</v>
      </c>
      <c r="C773" s="5" t="s">
        <v>22</v>
      </c>
    </row>
    <row r="774" spans="1:3" x14ac:dyDescent="0.2">
      <c r="A774" s="5">
        <v>772</v>
      </c>
      <c r="B774" s="5">
        <f t="shared" ca="1" si="12"/>
        <v>0.52553824962314688</v>
      </c>
      <c r="C774" s="5" t="s">
        <v>22</v>
      </c>
    </row>
    <row r="775" spans="1:3" x14ac:dyDescent="0.2">
      <c r="A775" s="5">
        <v>773</v>
      </c>
      <c r="B775" s="5">
        <f t="shared" ca="1" si="12"/>
        <v>0.69479188757052479</v>
      </c>
      <c r="C775" s="5" t="s">
        <v>22</v>
      </c>
    </row>
    <row r="776" spans="1:3" x14ac:dyDescent="0.2">
      <c r="A776" s="5">
        <v>774</v>
      </c>
      <c r="B776" s="5">
        <f t="shared" ca="1" si="12"/>
        <v>0.87089831882530055</v>
      </c>
      <c r="C776" s="5" t="s">
        <v>22</v>
      </c>
    </row>
    <row r="777" spans="1:3" x14ac:dyDescent="0.2">
      <c r="A777" s="5">
        <v>775</v>
      </c>
      <c r="B777" s="5">
        <f t="shared" ca="1" si="12"/>
        <v>0.71959274983519916</v>
      </c>
      <c r="C777" s="5" t="s">
        <v>21</v>
      </c>
    </row>
    <row r="778" spans="1:3" x14ac:dyDescent="0.2">
      <c r="A778" s="5">
        <v>776</v>
      </c>
      <c r="B778" s="5">
        <f t="shared" ca="1" si="12"/>
        <v>0.68970252498041285</v>
      </c>
      <c r="C778" s="5" t="s">
        <v>22</v>
      </c>
    </row>
    <row r="779" spans="1:3" x14ac:dyDescent="0.2">
      <c r="A779" s="5">
        <v>777</v>
      </c>
      <c r="B779" s="5">
        <f t="shared" ca="1" si="12"/>
        <v>0.78634386262464895</v>
      </c>
      <c r="C779" s="5" t="s">
        <v>21</v>
      </c>
    </row>
    <row r="780" spans="1:3" x14ac:dyDescent="0.2">
      <c r="A780" s="5">
        <v>778</v>
      </c>
      <c r="B780" s="5">
        <f t="shared" ca="1" si="12"/>
        <v>0.80124658672146798</v>
      </c>
      <c r="C780" s="5" t="s">
        <v>21</v>
      </c>
    </row>
    <row r="781" spans="1:3" x14ac:dyDescent="0.2">
      <c r="A781" s="5">
        <v>779</v>
      </c>
      <c r="B781" s="5">
        <f t="shared" ca="1" si="12"/>
        <v>0.80379442005531199</v>
      </c>
      <c r="C781" s="5" t="s">
        <v>21</v>
      </c>
    </row>
    <row r="782" spans="1:3" x14ac:dyDescent="0.2">
      <c r="A782" s="5">
        <v>780</v>
      </c>
      <c r="B782" s="5">
        <f t="shared" ca="1" si="12"/>
        <v>0.67146589249418742</v>
      </c>
      <c r="C782" s="5" t="s">
        <v>21</v>
      </c>
    </row>
    <row r="783" spans="1:3" x14ac:dyDescent="0.2">
      <c r="A783" s="5">
        <v>781</v>
      </c>
      <c r="B783" s="5">
        <f t="shared" ca="1" si="12"/>
        <v>0.80691309033772696</v>
      </c>
      <c r="C783" s="5" t="s">
        <v>21</v>
      </c>
    </row>
    <row r="784" spans="1:3" x14ac:dyDescent="0.2">
      <c r="A784" s="5">
        <v>782</v>
      </c>
      <c r="B784" s="5">
        <f t="shared" ca="1" si="12"/>
        <v>0.6737776410450399</v>
      </c>
      <c r="C784" s="5" t="s">
        <v>21</v>
      </c>
    </row>
    <row r="785" spans="1:3" x14ac:dyDescent="0.2">
      <c r="A785" s="5">
        <v>783</v>
      </c>
      <c r="B785" s="5">
        <f t="shared" ca="1" si="12"/>
        <v>0.60444667838878308</v>
      </c>
      <c r="C785" s="5" t="s">
        <v>21</v>
      </c>
    </row>
    <row r="786" spans="1:3" x14ac:dyDescent="0.2">
      <c r="A786" s="5">
        <v>784</v>
      </c>
      <c r="B786" s="5">
        <f t="shared" ca="1" si="12"/>
        <v>0.51789692082303296</v>
      </c>
      <c r="C786" s="5" t="s">
        <v>22</v>
      </c>
    </row>
    <row r="787" spans="1:3" x14ac:dyDescent="0.2">
      <c r="A787" s="5">
        <v>785</v>
      </c>
      <c r="B787" s="5">
        <f t="shared" ca="1" si="12"/>
        <v>0.76628112811911797</v>
      </c>
      <c r="C787" s="5" t="s">
        <v>22</v>
      </c>
    </row>
    <row r="788" spans="1:3" x14ac:dyDescent="0.2">
      <c r="A788" s="5">
        <v>786</v>
      </c>
      <c r="B788" s="5">
        <f t="shared" ca="1" si="12"/>
        <v>0.64868571517825402</v>
      </c>
      <c r="C788" s="5" t="s">
        <v>22</v>
      </c>
    </row>
    <row r="789" spans="1:3" x14ac:dyDescent="0.2">
      <c r="A789" s="5">
        <v>787</v>
      </c>
      <c r="B789" s="5">
        <f t="shared" ca="1" si="12"/>
        <v>0.56494162252466529</v>
      </c>
      <c r="C789" s="5" t="s">
        <v>21</v>
      </c>
    </row>
    <row r="790" spans="1:3" x14ac:dyDescent="0.2">
      <c r="A790" s="5">
        <v>788</v>
      </c>
      <c r="B790" s="5">
        <f t="shared" ca="1" si="12"/>
        <v>0.84126541275137079</v>
      </c>
      <c r="C790" s="5" t="s">
        <v>22</v>
      </c>
    </row>
    <row r="791" spans="1:3" x14ac:dyDescent="0.2">
      <c r="A791" s="5">
        <v>789</v>
      </c>
      <c r="B791" s="5">
        <f t="shared" ca="1" si="12"/>
        <v>0.61900021356100754</v>
      </c>
      <c r="C791" s="5" t="s">
        <v>21</v>
      </c>
    </row>
    <row r="792" spans="1:3" x14ac:dyDescent="0.2">
      <c r="A792" s="5">
        <v>790</v>
      </c>
      <c r="B792" s="5">
        <f t="shared" ca="1" si="12"/>
        <v>0.70461322159933704</v>
      </c>
      <c r="C792" s="5" t="s">
        <v>21</v>
      </c>
    </row>
    <row r="793" spans="1:3" x14ac:dyDescent="0.2">
      <c r="A793" s="5">
        <v>791</v>
      </c>
      <c r="B793" s="5">
        <f t="shared" ca="1" si="12"/>
        <v>0.61203483847737283</v>
      </c>
      <c r="C793" s="5" t="s">
        <v>22</v>
      </c>
    </row>
    <row r="794" spans="1:3" x14ac:dyDescent="0.2">
      <c r="A794" s="5">
        <v>792</v>
      </c>
      <c r="B794" s="5">
        <f t="shared" ca="1" si="12"/>
        <v>0.4763526843420367</v>
      </c>
      <c r="C794" s="5" t="s">
        <v>22</v>
      </c>
    </row>
    <row r="795" spans="1:3" x14ac:dyDescent="0.2">
      <c r="A795" s="5">
        <v>793</v>
      </c>
      <c r="B795" s="5">
        <f t="shared" ca="1" si="12"/>
        <v>0.63058676704752892</v>
      </c>
      <c r="C795" s="5" t="s">
        <v>21</v>
      </c>
    </row>
    <row r="796" spans="1:3" x14ac:dyDescent="0.2">
      <c r="A796" s="5">
        <v>794</v>
      </c>
      <c r="B796" s="5">
        <f t="shared" ca="1" si="12"/>
        <v>0.66223397418113139</v>
      </c>
      <c r="C796" s="5" t="s">
        <v>22</v>
      </c>
    </row>
    <row r="797" spans="1:3" x14ac:dyDescent="0.2">
      <c r="A797" s="5">
        <v>795</v>
      </c>
      <c r="B797" s="5">
        <f t="shared" ca="1" si="12"/>
        <v>0.71265909140635286</v>
      </c>
      <c r="C797" s="5" t="s">
        <v>22</v>
      </c>
    </row>
    <row r="798" spans="1:3" x14ac:dyDescent="0.2">
      <c r="A798" s="5">
        <v>796</v>
      </c>
      <c r="B798" s="5">
        <f t="shared" ca="1" si="12"/>
        <v>0.57982279432770067</v>
      </c>
      <c r="C798" s="5" t="s">
        <v>22</v>
      </c>
    </row>
    <row r="799" spans="1:3" x14ac:dyDescent="0.2">
      <c r="A799" s="5">
        <v>797</v>
      </c>
      <c r="B799" s="5">
        <f t="shared" ca="1" si="12"/>
        <v>0.45589352411334483</v>
      </c>
      <c r="C799" s="5" t="s">
        <v>22</v>
      </c>
    </row>
    <row r="800" spans="1:3" x14ac:dyDescent="0.2">
      <c r="A800" s="5">
        <v>798</v>
      </c>
      <c r="B800" s="5">
        <f t="shared" ca="1" si="12"/>
        <v>0.66952606337460263</v>
      </c>
      <c r="C800" s="5" t="s">
        <v>21</v>
      </c>
    </row>
    <row r="801" spans="1:3" x14ac:dyDescent="0.2">
      <c r="A801" s="5">
        <v>799</v>
      </c>
      <c r="B801" s="5">
        <f t="shared" ca="1" si="12"/>
        <v>0.52296084500530604</v>
      </c>
      <c r="C801" s="5" t="s">
        <v>22</v>
      </c>
    </row>
    <row r="802" spans="1:3" x14ac:dyDescent="0.2">
      <c r="A802" s="5">
        <v>800</v>
      </c>
      <c r="B802" s="5">
        <f t="shared" ca="1" si="12"/>
        <v>0.57615670650061879</v>
      </c>
      <c r="C802" s="5" t="s">
        <v>22</v>
      </c>
    </row>
    <row r="803" spans="1:3" x14ac:dyDescent="0.2">
      <c r="A803" s="5">
        <v>801</v>
      </c>
      <c r="B803" s="5">
        <f t="shared" ca="1" si="12"/>
        <v>0.51317206423219175</v>
      </c>
      <c r="C803" s="5" t="s">
        <v>22</v>
      </c>
    </row>
    <row r="804" spans="1:3" x14ac:dyDescent="0.2">
      <c r="A804" s="5">
        <v>802</v>
      </c>
      <c r="B804" s="5">
        <f t="shared" ca="1" si="12"/>
        <v>0.58752630258242844</v>
      </c>
      <c r="C804" s="5" t="s">
        <v>22</v>
      </c>
    </row>
    <row r="805" spans="1:3" x14ac:dyDescent="0.2">
      <c r="A805" s="5">
        <v>803</v>
      </c>
      <c r="B805" s="5">
        <f t="shared" ca="1" si="12"/>
        <v>0.61188854132374082</v>
      </c>
      <c r="C805" s="5" t="s">
        <v>21</v>
      </c>
    </row>
    <row r="806" spans="1:3" x14ac:dyDescent="0.2">
      <c r="A806" s="5">
        <v>804</v>
      </c>
      <c r="B806" s="5">
        <f t="shared" ca="1" si="12"/>
        <v>0.86488284492189715</v>
      </c>
      <c r="C806" s="5" t="s">
        <v>22</v>
      </c>
    </row>
    <row r="807" spans="1:3" x14ac:dyDescent="0.2">
      <c r="A807" s="5">
        <v>805</v>
      </c>
      <c r="B807" s="5">
        <f t="shared" ca="1" si="12"/>
        <v>0.57967909771714421</v>
      </c>
      <c r="C807" s="5" t="s">
        <v>21</v>
      </c>
    </row>
    <row r="808" spans="1:3" x14ac:dyDescent="0.2">
      <c r="A808" s="5">
        <v>806</v>
      </c>
      <c r="B808" s="5">
        <f t="shared" ca="1" si="12"/>
        <v>0.52620237511485557</v>
      </c>
      <c r="C808" s="5" t="s">
        <v>22</v>
      </c>
    </row>
    <row r="809" spans="1:3" x14ac:dyDescent="0.2">
      <c r="A809" s="5">
        <v>807</v>
      </c>
      <c r="B809" s="5">
        <f t="shared" ca="1" si="12"/>
        <v>0.76763631925697429</v>
      </c>
      <c r="C809" s="5" t="s">
        <v>21</v>
      </c>
    </row>
    <row r="810" spans="1:3" x14ac:dyDescent="0.2">
      <c r="A810" s="5">
        <v>808</v>
      </c>
      <c r="B810" s="5">
        <f t="shared" ca="1" si="12"/>
        <v>0.51858358254565273</v>
      </c>
      <c r="C810" s="5" t="s">
        <v>21</v>
      </c>
    </row>
    <row r="811" spans="1:3" x14ac:dyDescent="0.2">
      <c r="A811" s="5">
        <v>809</v>
      </c>
      <c r="B811" s="5">
        <f t="shared" ca="1" si="12"/>
        <v>0.72093726882256715</v>
      </c>
      <c r="C811" s="5" t="s">
        <v>21</v>
      </c>
    </row>
    <row r="812" spans="1:3" x14ac:dyDescent="0.2">
      <c r="A812" s="5">
        <v>810</v>
      </c>
      <c r="B812" s="5">
        <f t="shared" ca="1" si="12"/>
        <v>0.77201150734128365</v>
      </c>
      <c r="C812" s="5" t="s">
        <v>21</v>
      </c>
    </row>
    <row r="813" spans="1:3" x14ac:dyDescent="0.2">
      <c r="A813" s="5">
        <v>811</v>
      </c>
      <c r="B813" s="5">
        <f t="shared" ca="1" si="12"/>
        <v>0.59126002388186649</v>
      </c>
      <c r="C813" s="5" t="s">
        <v>22</v>
      </c>
    </row>
    <row r="814" spans="1:3" x14ac:dyDescent="0.2">
      <c r="A814" s="5">
        <v>812</v>
      </c>
      <c r="B814" s="5">
        <f t="shared" ca="1" si="12"/>
        <v>0.59842407473624326</v>
      </c>
      <c r="C814" s="5" t="s">
        <v>21</v>
      </c>
    </row>
    <row r="815" spans="1:3" x14ac:dyDescent="0.2">
      <c r="A815" s="5">
        <v>813</v>
      </c>
      <c r="B815" s="5">
        <f t="shared" ca="1" si="12"/>
        <v>0.61709519295344883</v>
      </c>
      <c r="C815" s="5" t="s">
        <v>21</v>
      </c>
    </row>
    <row r="816" spans="1:3" x14ac:dyDescent="0.2">
      <c r="A816" s="5">
        <v>814</v>
      </c>
      <c r="B816" s="5">
        <f t="shared" ca="1" si="12"/>
        <v>0.60709844391869883</v>
      </c>
      <c r="C816" s="5" t="s">
        <v>22</v>
      </c>
    </row>
    <row r="817" spans="1:3" x14ac:dyDescent="0.2">
      <c r="A817" s="5">
        <v>815</v>
      </c>
      <c r="B817" s="5">
        <f t="shared" ca="1" si="12"/>
        <v>0.55069367666366875</v>
      </c>
      <c r="C817" s="5" t="s">
        <v>22</v>
      </c>
    </row>
    <row r="818" spans="1:3" x14ac:dyDescent="0.2">
      <c r="A818" s="5">
        <v>816</v>
      </c>
      <c r="B818" s="5">
        <f t="shared" ca="1" si="12"/>
        <v>0.78008409337506912</v>
      </c>
      <c r="C818" s="5" t="s">
        <v>22</v>
      </c>
    </row>
    <row r="819" spans="1:3" x14ac:dyDescent="0.2">
      <c r="A819" s="5">
        <v>817</v>
      </c>
      <c r="B819" s="5">
        <f t="shared" ca="1" si="12"/>
        <v>0.78287456128740007</v>
      </c>
      <c r="C819" s="5" t="s">
        <v>22</v>
      </c>
    </row>
    <row r="820" spans="1:3" x14ac:dyDescent="0.2">
      <c r="A820" s="5">
        <v>818</v>
      </c>
      <c r="B820" s="5">
        <f t="shared" ca="1" si="12"/>
        <v>0.7994146975814822</v>
      </c>
      <c r="C820" s="5" t="s">
        <v>22</v>
      </c>
    </row>
    <row r="821" spans="1:3" x14ac:dyDescent="0.2">
      <c r="A821" s="5">
        <v>819</v>
      </c>
      <c r="B821" s="5">
        <f t="shared" ca="1" si="12"/>
        <v>0.60862919971248852</v>
      </c>
      <c r="C821" s="5" t="s">
        <v>22</v>
      </c>
    </row>
    <row r="822" spans="1:3" x14ac:dyDescent="0.2">
      <c r="A822" s="5">
        <v>820</v>
      </c>
      <c r="B822" s="5">
        <f t="shared" ca="1" si="12"/>
        <v>0.84407241995893878</v>
      </c>
      <c r="C822" s="5" t="s">
        <v>22</v>
      </c>
    </row>
    <row r="823" spans="1:3" x14ac:dyDescent="0.2">
      <c r="A823" s="5">
        <v>821</v>
      </c>
      <c r="B823" s="5">
        <f t="shared" ca="1" si="12"/>
        <v>0.83290678454818101</v>
      </c>
      <c r="C823" s="5" t="s">
        <v>21</v>
      </c>
    </row>
    <row r="824" spans="1:3" x14ac:dyDescent="0.2">
      <c r="A824" s="5">
        <v>822</v>
      </c>
      <c r="B824" s="5">
        <f t="shared" ca="1" si="12"/>
        <v>0.59844352816635127</v>
      </c>
      <c r="C824" s="5" t="s">
        <v>22</v>
      </c>
    </row>
    <row r="825" spans="1:3" x14ac:dyDescent="0.2">
      <c r="A825" s="5">
        <v>823</v>
      </c>
      <c r="B825" s="5">
        <f t="shared" ca="1" si="12"/>
        <v>0.76902628110571503</v>
      </c>
      <c r="C825" s="5" t="s">
        <v>21</v>
      </c>
    </row>
    <row r="826" spans="1:3" x14ac:dyDescent="0.2">
      <c r="A826" s="5">
        <v>824</v>
      </c>
      <c r="B826" s="5">
        <f t="shared" ca="1" si="12"/>
        <v>0.55573585096260147</v>
      </c>
      <c r="C826" s="5" t="s">
        <v>21</v>
      </c>
    </row>
    <row r="827" spans="1:3" x14ac:dyDescent="0.2">
      <c r="A827" s="5">
        <v>825</v>
      </c>
      <c r="B827" s="5">
        <f t="shared" ca="1" si="12"/>
        <v>0.8066777650622462</v>
      </c>
      <c r="C827" s="5" t="s">
        <v>21</v>
      </c>
    </row>
    <row r="828" spans="1:3" x14ac:dyDescent="0.2">
      <c r="A828" s="5">
        <v>826</v>
      </c>
      <c r="B828" s="5">
        <f t="shared" ca="1" si="12"/>
        <v>0.62223887257375055</v>
      </c>
      <c r="C828" s="5" t="s">
        <v>22</v>
      </c>
    </row>
    <row r="829" spans="1:3" x14ac:dyDescent="0.2">
      <c r="A829" s="5">
        <v>827</v>
      </c>
      <c r="B829" s="5">
        <f t="shared" ca="1" si="12"/>
        <v>0.65312272858285092</v>
      </c>
      <c r="C829" s="5" t="s">
        <v>22</v>
      </c>
    </row>
    <row r="830" spans="1:3" x14ac:dyDescent="0.2">
      <c r="A830" s="5">
        <v>828</v>
      </c>
      <c r="B830" s="5">
        <f t="shared" ca="1" si="12"/>
        <v>0.82867884342892517</v>
      </c>
      <c r="C830" s="5" t="s">
        <v>22</v>
      </c>
    </row>
    <row r="831" spans="1:3" x14ac:dyDescent="0.2">
      <c r="A831" s="5">
        <v>829</v>
      </c>
      <c r="B831" s="5">
        <f t="shared" ca="1" si="12"/>
        <v>0.52770146590359834</v>
      </c>
      <c r="C831" s="5" t="s">
        <v>21</v>
      </c>
    </row>
    <row r="832" spans="1:3" x14ac:dyDescent="0.2">
      <c r="A832" s="5">
        <v>830</v>
      </c>
      <c r="B832" s="5">
        <f t="shared" ca="1" si="12"/>
        <v>0.5088792128821702</v>
      </c>
      <c r="C832" s="5" t="s">
        <v>22</v>
      </c>
    </row>
    <row r="833" spans="1:3" x14ac:dyDescent="0.2">
      <c r="A833" s="5">
        <v>831</v>
      </c>
      <c r="B833" s="5">
        <f t="shared" ca="1" si="12"/>
        <v>0.52686343139251257</v>
      </c>
      <c r="C833" s="5" t="s">
        <v>22</v>
      </c>
    </row>
    <row r="834" spans="1:3" x14ac:dyDescent="0.2">
      <c r="A834" s="5">
        <v>832</v>
      </c>
      <c r="B834" s="5">
        <f t="shared" ca="1" si="12"/>
        <v>0.53905011346183929</v>
      </c>
      <c r="C834" s="5" t="s">
        <v>22</v>
      </c>
    </row>
    <row r="835" spans="1:3" x14ac:dyDescent="0.2">
      <c r="A835" s="5">
        <v>833</v>
      </c>
      <c r="B835" s="5">
        <f t="shared" ca="1" si="12"/>
        <v>0.74283680778612671</v>
      </c>
      <c r="C835" s="5" t="s">
        <v>21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0.80275760393913653</v>
      </c>
      <c r="C836" s="5" t="s">
        <v>22</v>
      </c>
    </row>
    <row r="837" spans="1:3" x14ac:dyDescent="0.2">
      <c r="A837" s="5">
        <v>835</v>
      </c>
      <c r="B837" s="5">
        <f t="shared" ca="1" si="13"/>
        <v>0.6638811465513661</v>
      </c>
      <c r="C837" s="5" t="s">
        <v>21</v>
      </c>
    </row>
    <row r="838" spans="1:3" x14ac:dyDescent="0.2">
      <c r="A838" s="5">
        <v>836</v>
      </c>
      <c r="B838" s="5">
        <f t="shared" ca="1" si="13"/>
        <v>0.49145479287762039</v>
      </c>
      <c r="C838" s="5" t="s">
        <v>22</v>
      </c>
    </row>
    <row r="839" spans="1:3" x14ac:dyDescent="0.2">
      <c r="A839" s="5">
        <v>837</v>
      </c>
      <c r="B839" s="5">
        <f t="shared" ca="1" si="13"/>
        <v>0.66913092741726188</v>
      </c>
      <c r="C839" s="5" t="s">
        <v>21</v>
      </c>
    </row>
    <row r="840" spans="1:3" x14ac:dyDescent="0.2">
      <c r="A840" s="5">
        <v>838</v>
      </c>
      <c r="B840" s="5">
        <f t="shared" ca="1" si="13"/>
        <v>0.88352107265905522</v>
      </c>
      <c r="C840" s="5" t="s">
        <v>22</v>
      </c>
    </row>
    <row r="841" spans="1:3" x14ac:dyDescent="0.2">
      <c r="A841" s="5">
        <v>839</v>
      </c>
      <c r="B841" s="5">
        <f t="shared" ca="1" si="13"/>
        <v>0.75117557257962031</v>
      </c>
      <c r="C841" s="5" t="s">
        <v>21</v>
      </c>
    </row>
    <row r="842" spans="1:3" x14ac:dyDescent="0.2">
      <c r="A842" s="5">
        <v>840</v>
      </c>
      <c r="B842" s="5">
        <f t="shared" ca="1" si="13"/>
        <v>0.83586184194578994</v>
      </c>
      <c r="C842" s="5" t="s">
        <v>21</v>
      </c>
    </row>
    <row r="843" spans="1:3" x14ac:dyDescent="0.2">
      <c r="A843" s="5">
        <v>841</v>
      </c>
      <c r="B843" s="5">
        <f t="shared" ca="1" si="13"/>
        <v>0.73477586422588148</v>
      </c>
      <c r="C843" s="5" t="s">
        <v>21</v>
      </c>
    </row>
    <row r="844" spans="1:3" x14ac:dyDescent="0.2">
      <c r="A844" s="5">
        <v>842</v>
      </c>
      <c r="B844" s="5">
        <f t="shared" ca="1" si="13"/>
        <v>0.57979737259253417</v>
      </c>
      <c r="C844" s="5" t="s">
        <v>22</v>
      </c>
    </row>
    <row r="845" spans="1:3" x14ac:dyDescent="0.2">
      <c r="A845" s="5">
        <v>843</v>
      </c>
      <c r="B845" s="5">
        <f t="shared" ca="1" si="13"/>
        <v>0.45821095835007697</v>
      </c>
      <c r="C845" s="5" t="s">
        <v>22</v>
      </c>
    </row>
    <row r="846" spans="1:3" x14ac:dyDescent="0.2">
      <c r="A846" s="5">
        <v>844</v>
      </c>
      <c r="B846" s="5">
        <f t="shared" ca="1" si="13"/>
        <v>0.61731816343738899</v>
      </c>
      <c r="C846" s="5" t="s">
        <v>22</v>
      </c>
    </row>
    <row r="847" spans="1:3" x14ac:dyDescent="0.2">
      <c r="A847" s="5">
        <v>845</v>
      </c>
      <c r="B847" s="5">
        <f t="shared" ca="1" si="13"/>
        <v>0.70782919074902273</v>
      </c>
      <c r="C847" s="5" t="s">
        <v>22</v>
      </c>
    </row>
    <row r="848" spans="1:3" x14ac:dyDescent="0.2">
      <c r="A848" s="5">
        <v>846</v>
      </c>
      <c r="B848" s="5">
        <f t="shared" ca="1" si="13"/>
        <v>0.57451510372863346</v>
      </c>
      <c r="C848" s="5" t="s">
        <v>22</v>
      </c>
    </row>
    <row r="849" spans="1:3" x14ac:dyDescent="0.2">
      <c r="A849" s="5">
        <v>847</v>
      </c>
      <c r="B849" s="5">
        <f t="shared" ca="1" si="13"/>
        <v>0.67620372515784588</v>
      </c>
      <c r="C849" s="5" t="s">
        <v>21</v>
      </c>
    </row>
    <row r="850" spans="1:3" x14ac:dyDescent="0.2">
      <c r="A850" s="5">
        <v>848</v>
      </c>
      <c r="B850" s="5">
        <f t="shared" ca="1" si="13"/>
        <v>0.56639751508973724</v>
      </c>
      <c r="C850" s="5" t="s">
        <v>22</v>
      </c>
    </row>
    <row r="851" spans="1:3" x14ac:dyDescent="0.2">
      <c r="A851" s="5">
        <v>849</v>
      </c>
      <c r="B851" s="5">
        <f t="shared" ca="1" si="13"/>
        <v>0.8019380258303096</v>
      </c>
      <c r="C851" s="5" t="s">
        <v>21</v>
      </c>
    </row>
    <row r="852" spans="1:3" x14ac:dyDescent="0.2">
      <c r="A852" s="5">
        <v>850</v>
      </c>
      <c r="B852" s="5">
        <f t="shared" ca="1" si="13"/>
        <v>0.44130989866953596</v>
      </c>
      <c r="C852" s="5" t="s">
        <v>22</v>
      </c>
    </row>
    <row r="853" spans="1:3" x14ac:dyDescent="0.2">
      <c r="A853" s="5">
        <v>851</v>
      </c>
      <c r="B853" s="5">
        <f t="shared" ca="1" si="13"/>
        <v>0.42965013150430714</v>
      </c>
      <c r="C853" s="5" t="s">
        <v>22</v>
      </c>
    </row>
    <row r="854" spans="1:3" x14ac:dyDescent="0.2">
      <c r="A854" s="5">
        <v>852</v>
      </c>
      <c r="B854" s="5">
        <f t="shared" ca="1" si="13"/>
        <v>0.5777387028662655</v>
      </c>
      <c r="C854" s="5" t="s">
        <v>22</v>
      </c>
    </row>
    <row r="855" spans="1:3" x14ac:dyDescent="0.2">
      <c r="A855" s="5">
        <v>853</v>
      </c>
      <c r="B855" s="5">
        <f t="shared" ca="1" si="13"/>
        <v>1.0182299411502072</v>
      </c>
      <c r="C855" s="5" t="s">
        <v>22</v>
      </c>
    </row>
    <row r="856" spans="1:3" x14ac:dyDescent="0.2">
      <c r="A856" s="5">
        <v>854</v>
      </c>
      <c r="B856" s="5">
        <f t="shared" ca="1" si="13"/>
        <v>0.54353753527482662</v>
      </c>
      <c r="C856" s="5" t="s">
        <v>22</v>
      </c>
    </row>
    <row r="857" spans="1:3" x14ac:dyDescent="0.2">
      <c r="A857" s="5">
        <v>855</v>
      </c>
      <c r="B857" s="5">
        <f t="shared" ca="1" si="13"/>
        <v>0.79273963351004517</v>
      </c>
      <c r="C857" s="5" t="s">
        <v>21</v>
      </c>
    </row>
    <row r="858" spans="1:3" x14ac:dyDescent="0.2">
      <c r="A858" s="5">
        <v>856</v>
      </c>
      <c r="B858" s="5">
        <f t="shared" ca="1" si="13"/>
        <v>0.71151300288509522</v>
      </c>
      <c r="C858" s="5" t="s">
        <v>21</v>
      </c>
    </row>
    <row r="859" spans="1:3" x14ac:dyDescent="0.2">
      <c r="A859" s="5">
        <v>857</v>
      </c>
      <c r="B859" s="5">
        <f t="shared" ca="1" si="13"/>
        <v>0.68241458379539055</v>
      </c>
      <c r="C859" s="5" t="s">
        <v>22</v>
      </c>
    </row>
    <row r="860" spans="1:3" x14ac:dyDescent="0.2">
      <c r="A860" s="5">
        <v>858</v>
      </c>
      <c r="B860" s="5">
        <f t="shared" ca="1" si="13"/>
        <v>0.51947446435837208</v>
      </c>
      <c r="C860" s="5" t="s">
        <v>22</v>
      </c>
    </row>
    <row r="861" spans="1:3" x14ac:dyDescent="0.2">
      <c r="A861" s="5">
        <v>859</v>
      </c>
      <c r="B861" s="5">
        <f t="shared" ca="1" si="13"/>
        <v>0.49735261760069982</v>
      </c>
      <c r="C861" s="5" t="s">
        <v>22</v>
      </c>
    </row>
    <row r="862" spans="1:3" x14ac:dyDescent="0.2">
      <c r="A862" s="5">
        <v>860</v>
      </c>
      <c r="B862" s="5">
        <f t="shared" ca="1" si="13"/>
        <v>0.31245999637275923</v>
      </c>
      <c r="C862" s="5" t="s">
        <v>22</v>
      </c>
    </row>
    <row r="863" spans="1:3" x14ac:dyDescent="0.2">
      <c r="A863" s="5">
        <v>861</v>
      </c>
      <c r="B863" s="5">
        <f t="shared" ca="1" si="13"/>
        <v>0.8282762903510017</v>
      </c>
      <c r="C863" s="5" t="s">
        <v>21</v>
      </c>
    </row>
    <row r="864" spans="1:3" x14ac:dyDescent="0.2">
      <c r="A864" s="5">
        <v>862</v>
      </c>
      <c r="B864" s="5">
        <f t="shared" ca="1" si="13"/>
        <v>0.24270533991598509</v>
      </c>
      <c r="C864" s="5" t="s">
        <v>22</v>
      </c>
    </row>
    <row r="865" spans="1:3" x14ac:dyDescent="0.2">
      <c r="A865" s="5">
        <v>863</v>
      </c>
      <c r="B865" s="5">
        <f t="shared" ca="1" si="13"/>
        <v>0.57055403423243567</v>
      </c>
      <c r="C865" s="5" t="s">
        <v>22</v>
      </c>
    </row>
    <row r="866" spans="1:3" x14ac:dyDescent="0.2">
      <c r="A866" s="5">
        <v>864</v>
      </c>
      <c r="B866" s="5">
        <f t="shared" ca="1" si="13"/>
        <v>0.55607924307850343</v>
      </c>
      <c r="C866" s="5" t="s">
        <v>22</v>
      </c>
    </row>
    <row r="867" spans="1:3" x14ac:dyDescent="0.2">
      <c r="A867" s="5">
        <v>865</v>
      </c>
      <c r="B867" s="5">
        <f t="shared" ca="1" si="13"/>
        <v>0.53742366463263425</v>
      </c>
      <c r="C867" s="5" t="s">
        <v>22</v>
      </c>
    </row>
    <row r="868" spans="1:3" x14ac:dyDescent="0.2">
      <c r="A868" s="5">
        <v>866</v>
      </c>
      <c r="B868" s="5">
        <f t="shared" ca="1" si="13"/>
        <v>0.55473273523977706</v>
      </c>
      <c r="C868" s="5" t="s">
        <v>22</v>
      </c>
    </row>
    <row r="869" spans="1:3" x14ac:dyDescent="0.2">
      <c r="A869" s="5">
        <v>867</v>
      </c>
      <c r="B869" s="5">
        <f t="shared" ca="1" si="13"/>
        <v>0.50415344501817372</v>
      </c>
      <c r="C869" s="5" t="s">
        <v>22</v>
      </c>
    </row>
    <row r="870" spans="1:3" x14ac:dyDescent="0.2">
      <c r="A870" s="5">
        <v>868</v>
      </c>
      <c r="B870" s="5">
        <f t="shared" ca="1" si="13"/>
        <v>0.60990240990179689</v>
      </c>
      <c r="C870" s="5" t="s">
        <v>22</v>
      </c>
    </row>
    <row r="871" spans="1:3" x14ac:dyDescent="0.2">
      <c r="A871" s="5">
        <v>869</v>
      </c>
      <c r="B871" s="5">
        <f t="shared" ca="1" si="13"/>
        <v>0.60850423438743828</v>
      </c>
      <c r="C871" s="5" t="s">
        <v>22</v>
      </c>
    </row>
    <row r="872" spans="1:3" x14ac:dyDescent="0.2">
      <c r="A872" s="5">
        <v>870</v>
      </c>
      <c r="B872" s="5">
        <f t="shared" ca="1" si="13"/>
        <v>0.44243983415249288</v>
      </c>
      <c r="C872" s="5" t="s">
        <v>22</v>
      </c>
    </row>
    <row r="873" spans="1:3" x14ac:dyDescent="0.2">
      <c r="A873" s="5">
        <v>871</v>
      </c>
      <c r="B873" s="5">
        <f t="shared" ca="1" si="13"/>
        <v>0.57862146773680778</v>
      </c>
      <c r="C873" s="5" t="s">
        <v>21</v>
      </c>
    </row>
    <row r="874" spans="1:3" x14ac:dyDescent="0.2">
      <c r="A874" s="5">
        <v>872</v>
      </c>
      <c r="B874" s="5">
        <f t="shared" ca="1" si="13"/>
        <v>0.64016792436659864</v>
      </c>
      <c r="C874" s="5" t="s">
        <v>21</v>
      </c>
    </row>
    <row r="875" spans="1:3" x14ac:dyDescent="0.2">
      <c r="A875" s="5">
        <v>873</v>
      </c>
      <c r="B875" s="5">
        <f t="shared" ca="1" si="13"/>
        <v>0.61628458369797734</v>
      </c>
      <c r="C875" s="5" t="s">
        <v>21</v>
      </c>
    </row>
    <row r="876" spans="1:3" x14ac:dyDescent="0.2">
      <c r="A876" s="5">
        <v>874</v>
      </c>
      <c r="B876" s="5">
        <f t="shared" ca="1" si="13"/>
        <v>0.66914255850656557</v>
      </c>
      <c r="C876" s="5" t="s">
        <v>22</v>
      </c>
    </row>
    <row r="877" spans="1:3" x14ac:dyDescent="0.2">
      <c r="A877" s="5">
        <v>875</v>
      </c>
      <c r="B877" s="5">
        <f t="shared" ca="1" si="13"/>
        <v>0.65839948161026607</v>
      </c>
      <c r="C877" s="5" t="s">
        <v>22</v>
      </c>
    </row>
    <row r="878" spans="1:3" x14ac:dyDescent="0.2">
      <c r="A878" s="5">
        <v>876</v>
      </c>
      <c r="B878" s="5">
        <f t="shared" ca="1" si="13"/>
        <v>0.54278340833291572</v>
      </c>
      <c r="C878" s="5" t="s">
        <v>21</v>
      </c>
    </row>
    <row r="879" spans="1:3" x14ac:dyDescent="0.2">
      <c r="A879" s="5">
        <v>877</v>
      </c>
      <c r="B879" s="5">
        <f t="shared" ca="1" si="13"/>
        <v>0.54227236303678605</v>
      </c>
      <c r="C879" s="5" t="s">
        <v>22</v>
      </c>
    </row>
    <row r="880" spans="1:3" x14ac:dyDescent="0.2">
      <c r="A880" s="5">
        <v>878</v>
      </c>
      <c r="B880" s="5">
        <f t="shared" ca="1" si="13"/>
        <v>0.67641122653705965</v>
      </c>
      <c r="C880" s="5" t="s">
        <v>22</v>
      </c>
    </row>
    <row r="881" spans="1:3" x14ac:dyDescent="0.2">
      <c r="A881" s="5">
        <v>879</v>
      </c>
      <c r="B881" s="5">
        <f t="shared" ca="1" si="13"/>
        <v>0.59408875500306479</v>
      </c>
      <c r="C881" s="5" t="s">
        <v>21</v>
      </c>
    </row>
    <row r="882" spans="1:3" x14ac:dyDescent="0.2">
      <c r="A882" s="5">
        <v>880</v>
      </c>
      <c r="B882" s="5">
        <f t="shared" ca="1" si="13"/>
        <v>0.75073141869923554</v>
      </c>
      <c r="C882" s="5" t="s">
        <v>21</v>
      </c>
    </row>
    <row r="883" spans="1:3" x14ac:dyDescent="0.2">
      <c r="A883" s="5">
        <v>881</v>
      </c>
      <c r="B883" s="5">
        <f t="shared" ca="1" si="13"/>
        <v>0.75520752388103374</v>
      </c>
      <c r="C883" s="5" t="s">
        <v>21</v>
      </c>
    </row>
    <row r="884" spans="1:3" x14ac:dyDescent="0.2">
      <c r="A884" s="5">
        <v>882</v>
      </c>
      <c r="B884" s="5">
        <f t="shared" ca="1" si="13"/>
        <v>0.65772684959701944</v>
      </c>
      <c r="C884" s="5" t="s">
        <v>21</v>
      </c>
    </row>
    <row r="885" spans="1:3" x14ac:dyDescent="0.2">
      <c r="A885" s="5">
        <v>883</v>
      </c>
      <c r="B885" s="5">
        <f t="shared" ca="1" si="13"/>
        <v>0.45382769682278534</v>
      </c>
      <c r="C885" s="5" t="s">
        <v>22</v>
      </c>
    </row>
    <row r="886" spans="1:3" x14ac:dyDescent="0.2">
      <c r="A886" s="5">
        <v>884</v>
      </c>
      <c r="B886" s="5">
        <f t="shared" ca="1" si="13"/>
        <v>0.64782162166680135</v>
      </c>
      <c r="C886" s="5" t="s">
        <v>22</v>
      </c>
    </row>
    <row r="887" spans="1:3" x14ac:dyDescent="0.2">
      <c r="A887" s="5">
        <v>885</v>
      </c>
      <c r="B887" s="5">
        <f t="shared" ca="1" si="13"/>
        <v>0.43792159193832209</v>
      </c>
      <c r="C887" s="5" t="s">
        <v>22</v>
      </c>
    </row>
    <row r="888" spans="1:3" x14ac:dyDescent="0.2">
      <c r="A888" s="5">
        <v>886</v>
      </c>
      <c r="B888" s="5">
        <f t="shared" ca="1" si="13"/>
        <v>0.61551954600330272</v>
      </c>
      <c r="C888" s="5" t="s">
        <v>21</v>
      </c>
    </row>
    <row r="889" spans="1:3" x14ac:dyDescent="0.2">
      <c r="A889" s="5">
        <v>887</v>
      </c>
      <c r="B889" s="5">
        <f t="shared" ca="1" si="13"/>
        <v>0.81077094178171916</v>
      </c>
      <c r="C889" s="5" t="s">
        <v>21</v>
      </c>
    </row>
    <row r="890" spans="1:3" x14ac:dyDescent="0.2">
      <c r="A890" s="5">
        <v>888</v>
      </c>
      <c r="B890" s="5">
        <f t="shared" ca="1" si="13"/>
        <v>0.81247601905898281</v>
      </c>
      <c r="C890" s="5" t="s">
        <v>21</v>
      </c>
    </row>
    <row r="891" spans="1:3" x14ac:dyDescent="0.2">
      <c r="A891" s="5">
        <v>889</v>
      </c>
      <c r="B891" s="5">
        <f t="shared" ca="1" si="13"/>
        <v>0.56253945670731387</v>
      </c>
      <c r="C891" s="5" t="s">
        <v>22</v>
      </c>
    </row>
    <row r="892" spans="1:3" x14ac:dyDescent="0.2">
      <c r="A892" s="5">
        <v>890</v>
      </c>
      <c r="B892" s="5">
        <f t="shared" ca="1" si="13"/>
        <v>0.34821438119577763</v>
      </c>
      <c r="C892" s="5" t="s">
        <v>22</v>
      </c>
    </row>
    <row r="893" spans="1:3" x14ac:dyDescent="0.2">
      <c r="A893" s="5">
        <v>891</v>
      </c>
      <c r="B893" s="5">
        <f t="shared" ca="1" si="13"/>
        <v>0.40672953737865514</v>
      </c>
      <c r="C893" s="5" t="s">
        <v>22</v>
      </c>
    </row>
    <row r="894" spans="1:3" x14ac:dyDescent="0.2">
      <c r="A894" s="5">
        <v>892</v>
      </c>
      <c r="B894" s="5">
        <f t="shared" ca="1" si="13"/>
        <v>0.74250359134820731</v>
      </c>
      <c r="C894" s="5" t="s">
        <v>21</v>
      </c>
    </row>
    <row r="895" spans="1:3" x14ac:dyDescent="0.2">
      <c r="A895" s="5">
        <v>893</v>
      </c>
      <c r="B895" s="5">
        <f t="shared" ca="1" si="13"/>
        <v>0.60174845364806562</v>
      </c>
      <c r="C895" s="5" t="s">
        <v>22</v>
      </c>
    </row>
    <row r="896" spans="1:3" x14ac:dyDescent="0.2">
      <c r="A896" s="5">
        <v>894</v>
      </c>
      <c r="B896" s="5">
        <f t="shared" ca="1" si="13"/>
        <v>0.68439294563641628</v>
      </c>
      <c r="C896" s="5" t="s">
        <v>21</v>
      </c>
    </row>
    <row r="897" spans="1:3" x14ac:dyDescent="0.2">
      <c r="A897" s="5">
        <v>895</v>
      </c>
      <c r="B897" s="5">
        <f t="shared" ca="1" si="13"/>
        <v>0.35579810810599205</v>
      </c>
      <c r="C897" s="5" t="s">
        <v>22</v>
      </c>
    </row>
    <row r="898" spans="1:3" x14ac:dyDescent="0.2">
      <c r="A898" s="5">
        <v>896</v>
      </c>
      <c r="B898" s="5">
        <f t="shared" ca="1" si="13"/>
        <v>0.57627252456477995</v>
      </c>
      <c r="C898" s="5" t="s">
        <v>21</v>
      </c>
    </row>
    <row r="899" spans="1:3" x14ac:dyDescent="0.2">
      <c r="A899" s="5">
        <v>897</v>
      </c>
      <c r="B899" s="5">
        <f t="shared" ca="1" si="13"/>
        <v>0.64933534871755549</v>
      </c>
      <c r="C899" s="5" t="s">
        <v>21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0.76925481062440582</v>
      </c>
      <c r="C900" s="5" t="s">
        <v>21</v>
      </c>
    </row>
    <row r="901" spans="1:3" x14ac:dyDescent="0.2">
      <c r="A901" s="5">
        <v>899</v>
      </c>
      <c r="B901" s="5">
        <f t="shared" ca="1" si="14"/>
        <v>0.65510113446302443</v>
      </c>
      <c r="C901" s="5" t="s">
        <v>22</v>
      </c>
    </row>
    <row r="902" spans="1:3" x14ac:dyDescent="0.2">
      <c r="A902" s="5">
        <v>900</v>
      </c>
      <c r="B902" s="5">
        <f t="shared" ca="1" si="14"/>
        <v>0.65515469390008774</v>
      </c>
      <c r="C902" s="5" t="s">
        <v>21</v>
      </c>
    </row>
    <row r="903" spans="1:3" x14ac:dyDescent="0.2">
      <c r="A903" s="5">
        <v>901</v>
      </c>
      <c r="B903" s="5">
        <f t="shared" ca="1" si="14"/>
        <v>0.69419877239987304</v>
      </c>
      <c r="C903" s="5" t="s">
        <v>21</v>
      </c>
    </row>
    <row r="904" spans="1:3" x14ac:dyDescent="0.2">
      <c r="A904" s="5">
        <v>902</v>
      </c>
      <c r="B904" s="5">
        <f t="shared" ca="1" si="14"/>
        <v>0.71842088947843852</v>
      </c>
      <c r="C904" s="5" t="s">
        <v>21</v>
      </c>
    </row>
    <row r="905" spans="1:3" x14ac:dyDescent="0.2">
      <c r="A905" s="5">
        <v>903</v>
      </c>
      <c r="B905" s="5">
        <f t="shared" ca="1" si="14"/>
        <v>0.66394562720421868</v>
      </c>
      <c r="C905" s="5" t="s">
        <v>21</v>
      </c>
    </row>
    <row r="906" spans="1:3" x14ac:dyDescent="0.2">
      <c r="A906" s="5">
        <v>904</v>
      </c>
      <c r="B906" s="5">
        <f t="shared" ca="1" si="14"/>
        <v>0.72143345016641147</v>
      </c>
      <c r="C906" s="5" t="s">
        <v>21</v>
      </c>
    </row>
    <row r="907" spans="1:3" x14ac:dyDescent="0.2">
      <c r="A907" s="5">
        <v>905</v>
      </c>
      <c r="B907" s="5">
        <f t="shared" ca="1" si="14"/>
        <v>0.58373824281664022</v>
      </c>
      <c r="C907" s="5" t="s">
        <v>22</v>
      </c>
    </row>
    <row r="908" spans="1:3" x14ac:dyDescent="0.2">
      <c r="A908" s="5">
        <v>906</v>
      </c>
      <c r="B908" s="5">
        <f t="shared" ca="1" si="14"/>
        <v>0.46404402001254286</v>
      </c>
      <c r="C908" s="5" t="s">
        <v>22</v>
      </c>
    </row>
    <row r="909" spans="1:3" x14ac:dyDescent="0.2">
      <c r="A909" s="5">
        <v>907</v>
      </c>
      <c r="B909" s="5">
        <f t="shared" ca="1" si="14"/>
        <v>0.5565044301964448</v>
      </c>
      <c r="C909" s="5" t="s">
        <v>22</v>
      </c>
    </row>
    <row r="910" spans="1:3" x14ac:dyDescent="0.2">
      <c r="A910" s="5">
        <v>908</v>
      </c>
      <c r="B910" s="5">
        <f t="shared" ca="1" si="14"/>
        <v>0.47604373444970388</v>
      </c>
      <c r="C910" s="5" t="s">
        <v>22</v>
      </c>
    </row>
    <row r="911" spans="1:3" x14ac:dyDescent="0.2">
      <c r="A911" s="5">
        <v>909</v>
      </c>
      <c r="B911" s="5">
        <f t="shared" ca="1" si="14"/>
        <v>0.65733945381857128</v>
      </c>
      <c r="C911" s="5" t="s">
        <v>22</v>
      </c>
    </row>
    <row r="912" spans="1:3" x14ac:dyDescent="0.2">
      <c r="A912" s="5">
        <v>910</v>
      </c>
      <c r="B912" s="5">
        <f t="shared" ca="1" si="14"/>
        <v>0.72406322518597421</v>
      </c>
      <c r="C912" s="5" t="s">
        <v>21</v>
      </c>
    </row>
    <row r="913" spans="1:3" x14ac:dyDescent="0.2">
      <c r="A913" s="5">
        <v>911</v>
      </c>
      <c r="B913" s="5">
        <f t="shared" ca="1" si="14"/>
        <v>0.99935984694730307</v>
      </c>
      <c r="C913" s="5" t="s">
        <v>22</v>
      </c>
    </row>
    <row r="914" spans="1:3" x14ac:dyDescent="0.2">
      <c r="A914" s="5">
        <v>912</v>
      </c>
      <c r="B914" s="5">
        <f t="shared" ca="1" si="14"/>
        <v>0.69421500423033888</v>
      </c>
      <c r="C914" s="5" t="s">
        <v>22</v>
      </c>
    </row>
    <row r="915" spans="1:3" x14ac:dyDescent="0.2">
      <c r="A915" s="5">
        <v>913</v>
      </c>
      <c r="B915" s="5">
        <f t="shared" ca="1" si="14"/>
        <v>0.40998378769886246</v>
      </c>
      <c r="C915" s="5" t="s">
        <v>22</v>
      </c>
    </row>
    <row r="916" spans="1:3" x14ac:dyDescent="0.2">
      <c r="A916" s="5">
        <v>914</v>
      </c>
      <c r="B916" s="5">
        <f t="shared" ca="1" si="14"/>
        <v>0.70250559586541705</v>
      </c>
      <c r="C916" s="5" t="s">
        <v>21</v>
      </c>
    </row>
    <row r="917" spans="1:3" x14ac:dyDescent="0.2">
      <c r="A917" s="5">
        <v>915</v>
      </c>
      <c r="B917" s="5">
        <f t="shared" ca="1" si="14"/>
        <v>0.55086314590741459</v>
      </c>
      <c r="C917" s="5" t="s">
        <v>22</v>
      </c>
    </row>
    <row r="918" spans="1:3" x14ac:dyDescent="0.2">
      <c r="A918" s="5">
        <v>916</v>
      </c>
      <c r="B918" s="5">
        <f t="shared" ca="1" si="14"/>
        <v>0.64545676945723551</v>
      </c>
      <c r="C918" s="5" t="s">
        <v>21</v>
      </c>
    </row>
    <row r="919" spans="1:3" x14ac:dyDescent="0.2">
      <c r="A919" s="5">
        <v>917</v>
      </c>
      <c r="B919" s="5">
        <f t="shared" ca="1" si="14"/>
        <v>0.10187606639002811</v>
      </c>
      <c r="C919" s="5" t="s">
        <v>22</v>
      </c>
    </row>
    <row r="920" spans="1:3" x14ac:dyDescent="0.2">
      <c r="A920" s="5">
        <v>918</v>
      </c>
      <c r="B920" s="5">
        <f t="shared" ca="1" si="14"/>
        <v>0.76801168465554526</v>
      </c>
      <c r="C920" s="5" t="s">
        <v>21</v>
      </c>
    </row>
    <row r="921" spans="1:3" x14ac:dyDescent="0.2">
      <c r="A921" s="5">
        <v>919</v>
      </c>
      <c r="B921" s="5">
        <f t="shared" ca="1" si="14"/>
        <v>0.26938295740873158</v>
      </c>
      <c r="C921" s="5" t="s">
        <v>22</v>
      </c>
    </row>
    <row r="922" spans="1:3" x14ac:dyDescent="0.2">
      <c r="A922" s="5">
        <v>920</v>
      </c>
      <c r="B922" s="5">
        <f t="shared" ca="1" si="14"/>
        <v>0.53988844070392394</v>
      </c>
      <c r="C922" s="5" t="s">
        <v>21</v>
      </c>
    </row>
    <row r="923" spans="1:3" x14ac:dyDescent="0.2">
      <c r="A923" s="5">
        <v>921</v>
      </c>
      <c r="B923" s="5">
        <f t="shared" ca="1" si="14"/>
        <v>0.53130565826216114</v>
      </c>
      <c r="C923" s="5" t="s">
        <v>21</v>
      </c>
    </row>
    <row r="924" spans="1:3" x14ac:dyDescent="0.2">
      <c r="A924" s="5">
        <v>922</v>
      </c>
      <c r="B924" s="5">
        <f t="shared" ca="1" si="14"/>
        <v>0.88198882137227508</v>
      </c>
      <c r="C924" s="5" t="s">
        <v>22</v>
      </c>
    </row>
    <row r="925" spans="1:3" x14ac:dyDescent="0.2">
      <c r="A925" s="5">
        <v>923</v>
      </c>
      <c r="B925" s="5">
        <f t="shared" ca="1" si="14"/>
        <v>0.6243742555641042</v>
      </c>
      <c r="C925" s="5" t="s">
        <v>22</v>
      </c>
    </row>
    <row r="926" spans="1:3" x14ac:dyDescent="0.2">
      <c r="A926" s="5">
        <v>924</v>
      </c>
      <c r="B926" s="5">
        <f t="shared" ca="1" si="14"/>
        <v>0.53995332545878849</v>
      </c>
      <c r="C926" s="5" t="s">
        <v>22</v>
      </c>
    </row>
    <row r="927" spans="1:3" x14ac:dyDescent="0.2">
      <c r="A927" s="5">
        <v>925</v>
      </c>
      <c r="B927" s="5">
        <f t="shared" ca="1" si="14"/>
        <v>0.60022022628751937</v>
      </c>
      <c r="C927" s="5" t="s">
        <v>21</v>
      </c>
    </row>
    <row r="928" spans="1:3" x14ac:dyDescent="0.2">
      <c r="A928" s="5">
        <v>926</v>
      </c>
      <c r="B928" s="5">
        <f t="shared" ca="1" si="14"/>
        <v>0.63459762831285527</v>
      </c>
      <c r="C928" s="5" t="s">
        <v>21</v>
      </c>
    </row>
    <row r="929" spans="1:3" x14ac:dyDescent="0.2">
      <c r="A929" s="5">
        <v>927</v>
      </c>
      <c r="B929" s="5">
        <f t="shared" ca="1" si="14"/>
        <v>0.74622241444051152</v>
      </c>
      <c r="C929" s="5" t="s">
        <v>21</v>
      </c>
    </row>
    <row r="930" spans="1:3" x14ac:dyDescent="0.2">
      <c r="A930" s="5">
        <v>928</v>
      </c>
      <c r="B930" s="5">
        <f t="shared" ca="1" si="14"/>
        <v>0.64635896515039781</v>
      </c>
      <c r="C930" s="5" t="s">
        <v>21</v>
      </c>
    </row>
    <row r="931" spans="1:3" x14ac:dyDescent="0.2">
      <c r="A931" s="5">
        <v>929</v>
      </c>
      <c r="B931" s="5">
        <f t="shared" ca="1" si="14"/>
        <v>0.81284929516682081</v>
      </c>
      <c r="C931" s="5" t="s">
        <v>21</v>
      </c>
    </row>
    <row r="932" spans="1:3" x14ac:dyDescent="0.2">
      <c r="A932" s="5">
        <v>930</v>
      </c>
      <c r="B932" s="5">
        <f t="shared" ca="1" si="14"/>
        <v>0.7776704311095215</v>
      </c>
      <c r="C932" s="5" t="s">
        <v>21</v>
      </c>
    </row>
    <row r="933" spans="1:3" x14ac:dyDescent="0.2">
      <c r="A933" s="5">
        <v>931</v>
      </c>
      <c r="B933" s="5">
        <f t="shared" ca="1" si="14"/>
        <v>0.67578285898103707</v>
      </c>
      <c r="C933" s="5" t="s">
        <v>22</v>
      </c>
    </row>
    <row r="934" spans="1:3" x14ac:dyDescent="0.2">
      <c r="A934" s="5">
        <v>932</v>
      </c>
      <c r="B934" s="5">
        <f t="shared" ca="1" si="14"/>
        <v>0.71878630207876404</v>
      </c>
      <c r="C934" s="5" t="s">
        <v>21</v>
      </c>
    </row>
    <row r="935" spans="1:3" x14ac:dyDescent="0.2">
      <c r="A935" s="5">
        <v>933</v>
      </c>
      <c r="B935" s="5">
        <f t="shared" ca="1" si="14"/>
        <v>0.53694415014516172</v>
      </c>
      <c r="C935" s="5" t="s">
        <v>22</v>
      </c>
    </row>
    <row r="936" spans="1:3" x14ac:dyDescent="0.2">
      <c r="A936" s="5">
        <v>934</v>
      </c>
      <c r="B936" s="5">
        <f t="shared" ca="1" si="14"/>
        <v>0.64955480844605684</v>
      </c>
      <c r="C936" s="5" t="s">
        <v>21</v>
      </c>
    </row>
    <row r="937" spans="1:3" x14ac:dyDescent="0.2">
      <c r="A937" s="5">
        <v>935</v>
      </c>
      <c r="B937" s="5">
        <f t="shared" ca="1" si="14"/>
        <v>0.67625143849053049</v>
      </c>
      <c r="C937" s="5" t="s">
        <v>21</v>
      </c>
    </row>
    <row r="938" spans="1:3" x14ac:dyDescent="0.2">
      <c r="A938" s="5">
        <v>936</v>
      </c>
      <c r="B938" s="5">
        <f t="shared" ca="1" si="14"/>
        <v>0.59920559163094234</v>
      </c>
      <c r="C938" s="5" t="s">
        <v>22</v>
      </c>
    </row>
    <row r="939" spans="1:3" x14ac:dyDescent="0.2">
      <c r="A939" s="5">
        <v>937</v>
      </c>
      <c r="B939" s="5">
        <f t="shared" ca="1" si="14"/>
        <v>0.79374018929378387</v>
      </c>
      <c r="C939" s="5" t="s">
        <v>22</v>
      </c>
    </row>
    <row r="940" spans="1:3" x14ac:dyDescent="0.2">
      <c r="A940" s="5">
        <v>938</v>
      </c>
      <c r="B940" s="5">
        <f t="shared" ca="1" si="14"/>
        <v>0.76111252539764318</v>
      </c>
      <c r="C940" s="5" t="s">
        <v>21</v>
      </c>
    </row>
    <row r="941" spans="1:3" x14ac:dyDescent="0.2">
      <c r="A941" s="5">
        <v>939</v>
      </c>
      <c r="B941" s="5">
        <f t="shared" ca="1" si="14"/>
        <v>0.68500862161651233</v>
      </c>
      <c r="C941" s="5" t="s">
        <v>21</v>
      </c>
    </row>
    <row r="942" spans="1:3" x14ac:dyDescent="0.2">
      <c r="A942" s="5">
        <v>940</v>
      </c>
      <c r="B942" s="5">
        <f t="shared" ca="1" si="14"/>
        <v>0.73805930387755703</v>
      </c>
      <c r="C942" s="5" t="s">
        <v>22</v>
      </c>
    </row>
    <row r="943" spans="1:3" x14ac:dyDescent="0.2">
      <c r="A943" s="5">
        <v>941</v>
      </c>
      <c r="B943" s="5">
        <f t="shared" ca="1" si="14"/>
        <v>0.56583027241764339</v>
      </c>
      <c r="C943" s="5" t="s">
        <v>22</v>
      </c>
    </row>
    <row r="944" spans="1:3" x14ac:dyDescent="0.2">
      <c r="A944" s="5">
        <v>942</v>
      </c>
      <c r="B944" s="5">
        <f t="shared" ca="1" si="14"/>
        <v>0.75490217542747728</v>
      </c>
      <c r="C944" s="5" t="s">
        <v>22</v>
      </c>
    </row>
    <row r="945" spans="1:3" x14ac:dyDescent="0.2">
      <c r="A945" s="5">
        <v>943</v>
      </c>
      <c r="B945" s="5">
        <f t="shared" ca="1" si="14"/>
        <v>0.68090538806719836</v>
      </c>
      <c r="C945" s="5" t="s">
        <v>22</v>
      </c>
    </row>
    <row r="946" spans="1:3" x14ac:dyDescent="0.2">
      <c r="A946" s="5">
        <v>944</v>
      </c>
      <c r="B946" s="5">
        <f t="shared" ca="1" si="14"/>
        <v>0.53233554106056724</v>
      </c>
      <c r="C946" s="5" t="s">
        <v>22</v>
      </c>
    </row>
    <row r="947" spans="1:3" x14ac:dyDescent="0.2">
      <c r="A947" s="5">
        <v>945</v>
      </c>
      <c r="B947" s="5">
        <f t="shared" ca="1" si="14"/>
        <v>0.85629773239172202</v>
      </c>
      <c r="C947" s="5" t="s">
        <v>21</v>
      </c>
    </row>
    <row r="948" spans="1:3" x14ac:dyDescent="0.2">
      <c r="A948" s="5">
        <v>946</v>
      </c>
      <c r="B948" s="5">
        <f t="shared" ca="1" si="14"/>
        <v>0.41270008004389225</v>
      </c>
      <c r="C948" s="5" t="s">
        <v>22</v>
      </c>
    </row>
    <row r="949" spans="1:3" x14ac:dyDescent="0.2">
      <c r="A949" s="5">
        <v>947</v>
      </c>
      <c r="B949" s="5">
        <f t="shared" ca="1" si="14"/>
        <v>0.84499288567204023</v>
      </c>
      <c r="C949" s="5" t="s">
        <v>21</v>
      </c>
    </row>
    <row r="950" spans="1:3" x14ac:dyDescent="0.2">
      <c r="A950" s="5">
        <v>948</v>
      </c>
      <c r="B950" s="5">
        <f t="shared" ca="1" si="14"/>
        <v>0.96026599567646764</v>
      </c>
      <c r="C950" s="5" t="s">
        <v>22</v>
      </c>
    </row>
    <row r="951" spans="1:3" x14ac:dyDescent="0.2">
      <c r="A951" s="5">
        <v>949</v>
      </c>
      <c r="B951" s="5">
        <f t="shared" ca="1" si="14"/>
        <v>0.61113852560037718</v>
      </c>
      <c r="C951" s="5" t="s">
        <v>21</v>
      </c>
    </row>
    <row r="952" spans="1:3" x14ac:dyDescent="0.2">
      <c r="A952" s="5">
        <v>950</v>
      </c>
      <c r="B952" s="5">
        <f t="shared" ca="1" si="14"/>
        <v>0.70239764235315716</v>
      </c>
      <c r="C952" s="5" t="s">
        <v>21</v>
      </c>
    </row>
    <row r="953" spans="1:3" x14ac:dyDescent="0.2">
      <c r="A953" s="5">
        <v>951</v>
      </c>
      <c r="B953" s="5">
        <f t="shared" ca="1" si="14"/>
        <v>0.3726268403147357</v>
      </c>
      <c r="C953" s="5" t="s">
        <v>22</v>
      </c>
    </row>
    <row r="954" spans="1:3" x14ac:dyDescent="0.2">
      <c r="A954" s="5">
        <v>952</v>
      </c>
      <c r="B954" s="5">
        <f t="shared" ca="1" si="14"/>
        <v>0.66289070920146165</v>
      </c>
      <c r="C954" s="5" t="s">
        <v>22</v>
      </c>
    </row>
    <row r="955" spans="1:3" x14ac:dyDescent="0.2">
      <c r="A955" s="5">
        <v>953</v>
      </c>
      <c r="B955" s="5">
        <f t="shared" ca="1" si="14"/>
        <v>0.4370142761391384</v>
      </c>
      <c r="C955" s="5" t="s">
        <v>21</v>
      </c>
    </row>
    <row r="956" spans="1:3" x14ac:dyDescent="0.2">
      <c r="A956" s="5">
        <v>954</v>
      </c>
      <c r="B956" s="5">
        <f t="shared" ca="1" si="14"/>
        <v>0.86042716053542145</v>
      </c>
      <c r="C956" s="5" t="s">
        <v>22</v>
      </c>
    </row>
    <row r="957" spans="1:3" x14ac:dyDescent="0.2">
      <c r="A957" s="5">
        <v>955</v>
      </c>
      <c r="B957" s="5">
        <f t="shared" ca="1" si="14"/>
        <v>0.66472172512572392</v>
      </c>
      <c r="C957" s="5" t="s">
        <v>21</v>
      </c>
    </row>
    <row r="958" spans="1:3" x14ac:dyDescent="0.2">
      <c r="A958" s="5">
        <v>956</v>
      </c>
      <c r="B958" s="5">
        <f t="shared" ca="1" si="14"/>
        <v>0.70938703192245378</v>
      </c>
      <c r="C958" s="5" t="s">
        <v>21</v>
      </c>
    </row>
    <row r="959" spans="1:3" x14ac:dyDescent="0.2">
      <c r="A959" s="5">
        <v>957</v>
      </c>
      <c r="B959" s="5">
        <f t="shared" ca="1" si="14"/>
        <v>0.5859008084065237</v>
      </c>
      <c r="C959" s="5" t="s">
        <v>22</v>
      </c>
    </row>
    <row r="960" spans="1:3" x14ac:dyDescent="0.2">
      <c r="A960" s="5">
        <v>958</v>
      </c>
      <c r="B960" s="5">
        <f t="shared" ca="1" si="14"/>
        <v>0.68787000315936397</v>
      </c>
      <c r="C960" s="5" t="s">
        <v>21</v>
      </c>
    </row>
    <row r="961" spans="1:3" x14ac:dyDescent="0.2">
      <c r="A961" s="5">
        <v>959</v>
      </c>
      <c r="B961" s="5">
        <f t="shared" ca="1" si="14"/>
        <v>0.68363712485919015</v>
      </c>
      <c r="C961" s="5" t="s">
        <v>22</v>
      </c>
    </row>
    <row r="962" spans="1:3" x14ac:dyDescent="0.2">
      <c r="A962" s="5">
        <v>960</v>
      </c>
      <c r="B962" s="5">
        <f t="shared" ca="1" si="14"/>
        <v>0.4517866589804973</v>
      </c>
      <c r="C962" s="5" t="s">
        <v>22</v>
      </c>
    </row>
    <row r="963" spans="1:3" x14ac:dyDescent="0.2">
      <c r="A963" s="5">
        <v>961</v>
      </c>
      <c r="B963" s="5">
        <f t="shared" ca="1" si="14"/>
        <v>0.6497345810206856</v>
      </c>
      <c r="C963" s="5" t="s">
        <v>21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0.67818388704237353</v>
      </c>
      <c r="C964" s="5" t="s">
        <v>21</v>
      </c>
    </row>
    <row r="965" spans="1:3" x14ac:dyDescent="0.2">
      <c r="A965" s="5">
        <v>963</v>
      </c>
      <c r="B965" s="5">
        <f t="shared" ca="1" si="15"/>
        <v>0.79212923612897224</v>
      </c>
      <c r="C965" s="5" t="s">
        <v>21</v>
      </c>
    </row>
    <row r="966" spans="1:3" x14ac:dyDescent="0.2">
      <c r="A966" s="5">
        <v>964</v>
      </c>
      <c r="B966" s="5">
        <f t="shared" ca="1" si="15"/>
        <v>0.71698815374697233</v>
      </c>
      <c r="C966" s="5" t="s">
        <v>21</v>
      </c>
    </row>
    <row r="967" spans="1:3" x14ac:dyDescent="0.2">
      <c r="A967" s="5">
        <v>965</v>
      </c>
      <c r="B967" s="5">
        <f t="shared" ca="1" si="15"/>
        <v>0.7330991510033954</v>
      </c>
      <c r="C967" s="5" t="s">
        <v>21</v>
      </c>
    </row>
    <row r="968" spans="1:3" x14ac:dyDescent="0.2">
      <c r="A968" s="5">
        <v>966</v>
      </c>
      <c r="B968" s="5">
        <f t="shared" ca="1" si="15"/>
        <v>0.79109306259217671</v>
      </c>
      <c r="C968" s="5" t="s">
        <v>21</v>
      </c>
    </row>
    <row r="969" spans="1:3" x14ac:dyDescent="0.2">
      <c r="A969" s="5">
        <v>967</v>
      </c>
      <c r="B969" s="5">
        <f t="shared" ca="1" si="15"/>
        <v>0.75338111598323021</v>
      </c>
      <c r="C969" s="5" t="s">
        <v>21</v>
      </c>
    </row>
    <row r="970" spans="1:3" x14ac:dyDescent="0.2">
      <c r="A970" s="5">
        <v>968</v>
      </c>
      <c r="B970" s="5">
        <f t="shared" ca="1" si="15"/>
        <v>0.6919620265103863</v>
      </c>
      <c r="C970" s="5" t="s">
        <v>21</v>
      </c>
    </row>
    <row r="971" spans="1:3" x14ac:dyDescent="0.2">
      <c r="A971" s="5">
        <v>969</v>
      </c>
      <c r="B971" s="5">
        <f t="shared" ca="1" si="15"/>
        <v>0.67153515201472358</v>
      </c>
      <c r="C971" s="5" t="s">
        <v>22</v>
      </c>
    </row>
    <row r="972" spans="1:3" x14ac:dyDescent="0.2">
      <c r="A972" s="5">
        <v>970</v>
      </c>
      <c r="B972" s="5">
        <f t="shared" ca="1" si="15"/>
        <v>0.98164558470720364</v>
      </c>
      <c r="C972" s="5" t="s">
        <v>22</v>
      </c>
    </row>
    <row r="973" spans="1:3" x14ac:dyDescent="0.2">
      <c r="A973" s="5">
        <v>971</v>
      </c>
      <c r="B973" s="5">
        <f t="shared" ca="1" si="15"/>
        <v>0.72227220437502115</v>
      </c>
      <c r="C973" s="5" t="s">
        <v>21</v>
      </c>
    </row>
    <row r="974" spans="1:3" x14ac:dyDescent="0.2">
      <c r="A974" s="5">
        <v>972</v>
      </c>
      <c r="B974" s="5">
        <f t="shared" ca="1" si="15"/>
        <v>0.73367121923514822</v>
      </c>
      <c r="C974" s="5" t="s">
        <v>22</v>
      </c>
    </row>
    <row r="975" spans="1:3" x14ac:dyDescent="0.2">
      <c r="A975" s="5">
        <v>973</v>
      </c>
      <c r="B975" s="5">
        <f t="shared" ca="1" si="15"/>
        <v>0.49796662250316159</v>
      </c>
      <c r="C975" s="5" t="s">
        <v>21</v>
      </c>
    </row>
    <row r="976" spans="1:3" x14ac:dyDescent="0.2">
      <c r="A976" s="5">
        <v>974</v>
      </c>
      <c r="B976" s="5">
        <f t="shared" ca="1" si="15"/>
        <v>0.6993017155304857</v>
      </c>
      <c r="C976" s="5" t="s">
        <v>21</v>
      </c>
    </row>
    <row r="977" spans="1:3" x14ac:dyDescent="0.2">
      <c r="A977" s="5">
        <v>975</v>
      </c>
      <c r="B977" s="5">
        <f t="shared" ca="1" si="15"/>
        <v>0.68640028125977437</v>
      </c>
      <c r="C977" s="5" t="s">
        <v>21</v>
      </c>
    </row>
    <row r="978" spans="1:3" x14ac:dyDescent="0.2">
      <c r="A978" s="5">
        <v>976</v>
      </c>
      <c r="B978" s="5">
        <f t="shared" ca="1" si="15"/>
        <v>0.86088845851489937</v>
      </c>
      <c r="C978" s="5" t="s">
        <v>21</v>
      </c>
    </row>
    <row r="979" spans="1:3" x14ac:dyDescent="0.2">
      <c r="A979" s="5">
        <v>977</v>
      </c>
      <c r="B979" s="5">
        <f t="shared" ca="1" si="15"/>
        <v>0.80657982202946288</v>
      </c>
      <c r="C979" s="5" t="s">
        <v>21</v>
      </c>
    </row>
    <row r="980" spans="1:3" x14ac:dyDescent="0.2">
      <c r="A980" s="5">
        <v>978</v>
      </c>
      <c r="B980" s="5">
        <f t="shared" ca="1" si="15"/>
        <v>0.58637426535784343</v>
      </c>
      <c r="C980" s="5" t="s">
        <v>21</v>
      </c>
    </row>
    <row r="981" spans="1:3" x14ac:dyDescent="0.2">
      <c r="A981" s="5">
        <v>979</v>
      </c>
      <c r="B981" s="5">
        <f t="shared" ca="1" si="15"/>
        <v>0.70437512789251999</v>
      </c>
      <c r="C981" s="5" t="s">
        <v>21</v>
      </c>
    </row>
    <row r="982" spans="1:3" x14ac:dyDescent="0.2">
      <c r="A982" s="5">
        <v>980</v>
      </c>
      <c r="B982" s="5">
        <f t="shared" ca="1" si="15"/>
        <v>0.84723882595867206</v>
      </c>
      <c r="C982" s="5" t="s">
        <v>22</v>
      </c>
    </row>
    <row r="983" spans="1:3" x14ac:dyDescent="0.2">
      <c r="A983" s="5">
        <v>981</v>
      </c>
      <c r="B983" s="5">
        <f t="shared" ca="1" si="15"/>
        <v>0.60420561442953935</v>
      </c>
      <c r="C983" s="5" t="s">
        <v>22</v>
      </c>
    </row>
    <row r="984" spans="1:3" x14ac:dyDescent="0.2">
      <c r="A984" s="5">
        <v>982</v>
      </c>
      <c r="B984" s="5">
        <f t="shared" ca="1" si="15"/>
        <v>0.86458652228430322</v>
      </c>
      <c r="C984" s="5" t="s">
        <v>21</v>
      </c>
    </row>
    <row r="985" spans="1:3" x14ac:dyDescent="0.2">
      <c r="A985" s="5">
        <v>983</v>
      </c>
      <c r="B985" s="5">
        <f t="shared" ca="1" si="15"/>
        <v>0.51776833490661711</v>
      </c>
      <c r="C985" s="5" t="s">
        <v>21</v>
      </c>
    </row>
    <row r="986" spans="1:3" x14ac:dyDescent="0.2">
      <c r="A986" s="5">
        <v>984</v>
      </c>
      <c r="B986" s="5">
        <f t="shared" ca="1" si="15"/>
        <v>0.86721572663951885</v>
      </c>
      <c r="C986" s="5" t="s">
        <v>22</v>
      </c>
    </row>
    <row r="987" spans="1:3" x14ac:dyDescent="0.2">
      <c r="A987" s="5">
        <v>985</v>
      </c>
      <c r="B987" s="5">
        <f t="shared" ca="1" si="15"/>
        <v>0.80732115693562945</v>
      </c>
      <c r="C987" s="5" t="s">
        <v>22</v>
      </c>
    </row>
    <row r="988" spans="1:3" x14ac:dyDescent="0.2">
      <c r="A988" s="5">
        <v>986</v>
      </c>
      <c r="B988" s="5">
        <f t="shared" ca="1" si="15"/>
        <v>0.6676909182287365</v>
      </c>
      <c r="C988" s="5" t="s">
        <v>21</v>
      </c>
    </row>
    <row r="989" spans="1:3" x14ac:dyDescent="0.2">
      <c r="A989" s="5">
        <v>987</v>
      </c>
      <c r="B989" s="5">
        <f t="shared" ca="1" si="15"/>
        <v>0.72719967704745314</v>
      </c>
      <c r="C989" s="5" t="s">
        <v>22</v>
      </c>
    </row>
    <row r="990" spans="1:3" x14ac:dyDescent="0.2">
      <c r="A990" s="5">
        <v>988</v>
      </c>
      <c r="B990" s="5">
        <f t="shared" ca="1" si="15"/>
        <v>0.65587863356963072</v>
      </c>
      <c r="C990" s="5" t="s">
        <v>22</v>
      </c>
    </row>
    <row r="991" spans="1:3" x14ac:dyDescent="0.2">
      <c r="A991" s="5">
        <v>989</v>
      </c>
      <c r="B991" s="5">
        <f t="shared" ca="1" si="15"/>
        <v>0.63610218935142593</v>
      </c>
      <c r="C991" s="5" t="s">
        <v>21</v>
      </c>
    </row>
    <row r="992" spans="1:3" x14ac:dyDescent="0.2">
      <c r="A992" s="5">
        <v>990</v>
      </c>
      <c r="B992" s="5">
        <f t="shared" ca="1" si="15"/>
        <v>0.6050374451134295</v>
      </c>
      <c r="C992" s="5" t="s">
        <v>22</v>
      </c>
    </row>
    <row r="993" spans="1:3" x14ac:dyDescent="0.2">
      <c r="A993" s="5">
        <v>991</v>
      </c>
      <c r="B993" s="5">
        <f t="shared" ca="1" si="15"/>
        <v>0.82529116170355343</v>
      </c>
      <c r="C993" s="5" t="s">
        <v>21</v>
      </c>
    </row>
    <row r="994" spans="1:3" x14ac:dyDescent="0.2">
      <c r="A994" s="5">
        <v>992</v>
      </c>
      <c r="B994" s="5">
        <f t="shared" ca="1" si="15"/>
        <v>0.60307244897555656</v>
      </c>
      <c r="C994" s="5" t="s">
        <v>22</v>
      </c>
    </row>
    <row r="995" spans="1:3" x14ac:dyDescent="0.2">
      <c r="A995" s="5">
        <v>993</v>
      </c>
      <c r="B995" s="5">
        <f t="shared" ca="1" si="15"/>
        <v>0.70808894785279397</v>
      </c>
      <c r="C995" s="5" t="s">
        <v>21</v>
      </c>
    </row>
    <row r="996" spans="1:3" x14ac:dyDescent="0.2">
      <c r="A996" s="5">
        <v>994</v>
      </c>
      <c r="B996" s="5">
        <f t="shared" ca="1" si="15"/>
        <v>0.71559543879231458</v>
      </c>
      <c r="C996" s="5" t="s">
        <v>21</v>
      </c>
    </row>
    <row r="997" spans="1:3" x14ac:dyDescent="0.2">
      <c r="A997" s="5">
        <v>995</v>
      </c>
      <c r="B997" s="5">
        <f t="shared" ca="1" si="15"/>
        <v>0.3952655501520852</v>
      </c>
      <c r="C997" s="5" t="s">
        <v>22</v>
      </c>
    </row>
    <row r="998" spans="1:3" x14ac:dyDescent="0.2">
      <c r="A998" s="5">
        <v>996</v>
      </c>
      <c r="B998" s="5">
        <f t="shared" ca="1" si="15"/>
        <v>0.65068160359954674</v>
      </c>
      <c r="C998" s="5" t="s">
        <v>21</v>
      </c>
    </row>
    <row r="999" spans="1:3" x14ac:dyDescent="0.2">
      <c r="A999" s="5">
        <v>997</v>
      </c>
      <c r="B999" s="5">
        <f t="shared" ca="1" si="15"/>
        <v>0.55813169160376463</v>
      </c>
      <c r="C999" s="5" t="s">
        <v>22</v>
      </c>
    </row>
    <row r="1000" spans="1:3" x14ac:dyDescent="0.2">
      <c r="A1000" s="5">
        <v>998</v>
      </c>
      <c r="B1000" s="5">
        <f t="shared" ca="1" si="15"/>
        <v>0.5451914703001608</v>
      </c>
      <c r="C1000" s="5" t="s">
        <v>22</v>
      </c>
    </row>
    <row r="1001" spans="1:3" x14ac:dyDescent="0.2">
      <c r="A1001" s="5">
        <v>999</v>
      </c>
      <c r="B1001" s="5">
        <f t="shared" ca="1" si="15"/>
        <v>0.42924758235420768</v>
      </c>
      <c r="C1001" s="5" t="s">
        <v>22</v>
      </c>
    </row>
    <row r="1002" spans="1:3" x14ac:dyDescent="0.2">
      <c r="A1002" s="5">
        <v>1000</v>
      </c>
      <c r="B1002" s="5">
        <f t="shared" ca="1" si="15"/>
        <v>0.64882718105613346</v>
      </c>
      <c r="C1002" s="5" t="s">
        <v>22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C0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6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116</v>
      </c>
    </row>
    <row r="4" spans="2:3" x14ac:dyDescent="0.3">
      <c r="B4" s="1" t="s">
        <v>117</v>
      </c>
    </row>
    <row r="5" spans="2:3" x14ac:dyDescent="0.3">
      <c r="B5" s="1" t="s">
        <v>118</v>
      </c>
    </row>
    <row r="7" spans="2:3" x14ac:dyDescent="0.3">
      <c r="B7" s="1" t="s">
        <v>119</v>
      </c>
    </row>
    <row r="8" spans="2:3" x14ac:dyDescent="0.3">
      <c r="B8" s="1" t="s">
        <v>120</v>
      </c>
    </row>
    <row r="9" spans="2:3" x14ac:dyDescent="0.3">
      <c r="B9" s="1" t="s">
        <v>121</v>
      </c>
    </row>
    <row r="11" spans="2:3" x14ac:dyDescent="0.3">
      <c r="C11" s="41">
        <v>1</v>
      </c>
    </row>
    <row r="12" spans="2:3" x14ac:dyDescent="0.3">
      <c r="C12" s="26" t="s">
        <v>130</v>
      </c>
    </row>
    <row r="14" spans="2:3" x14ac:dyDescent="0.3">
      <c r="C14" s="41">
        <v>1</v>
      </c>
    </row>
    <row r="15" spans="2:3" x14ac:dyDescent="0.3">
      <c r="C15" s="26" t="s">
        <v>122</v>
      </c>
    </row>
    <row r="17" spans="3:13" ht="31" x14ac:dyDescent="0.4">
      <c r="C17" s="41">
        <v>2</v>
      </c>
      <c r="E17" s="41">
        <v>2</v>
      </c>
      <c r="G17" s="41" t="s">
        <v>126</v>
      </c>
      <c r="I17" s="41" t="s">
        <v>126</v>
      </c>
      <c r="K17" s="41" t="s">
        <v>126</v>
      </c>
      <c r="M17" s="26" t="s">
        <v>129</v>
      </c>
    </row>
    <row r="18" spans="3:13" ht="30" x14ac:dyDescent="0.4">
      <c r="C18" s="26" t="s">
        <v>123</v>
      </c>
      <c r="E18" s="26" t="s">
        <v>124</v>
      </c>
      <c r="G18" s="26" t="s">
        <v>125</v>
      </c>
      <c r="I18" s="26" t="s">
        <v>127</v>
      </c>
      <c r="K18" s="26" t="s">
        <v>128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C0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6" t="s">
        <v>143</v>
      </c>
    </row>
    <row r="4" spans="2:2" x14ac:dyDescent="0.3">
      <c r="B4" s="1" t="s">
        <v>138</v>
      </c>
    </row>
    <row r="5" spans="2:2" x14ac:dyDescent="0.3">
      <c r="B5" s="1" t="s">
        <v>139</v>
      </c>
    </row>
    <row r="7" spans="2:2" x14ac:dyDescent="0.3">
      <c r="B7" s="1" t="s">
        <v>140</v>
      </c>
    </row>
    <row r="8" spans="2:2" x14ac:dyDescent="0.3">
      <c r="B8" s="1" t="s">
        <v>142</v>
      </c>
    </row>
    <row r="9" spans="2:2" x14ac:dyDescent="0.3">
      <c r="B9" s="1" t="s">
        <v>141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316-9E83-AD4E-9347-44F825D984FB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147</v>
      </c>
    </row>
    <row r="3" spans="2:4" x14ac:dyDescent="0.3">
      <c r="B3" s="3" t="s">
        <v>148</v>
      </c>
    </row>
    <row r="6" spans="2:4" x14ac:dyDescent="0.3">
      <c r="C6" s="1" t="s">
        <v>149</v>
      </c>
    </row>
    <row r="7" spans="2:4" x14ac:dyDescent="0.3">
      <c r="C7" s="1" t="s">
        <v>150</v>
      </c>
    </row>
    <row r="8" spans="2:4" x14ac:dyDescent="0.3">
      <c r="D8" s="1" t="s">
        <v>151</v>
      </c>
    </row>
    <row r="9" spans="2:4" x14ac:dyDescent="0.3">
      <c r="D9" s="1" t="s">
        <v>152</v>
      </c>
    </row>
  </sheetData>
  <hyperlinks>
    <hyperlink ref="B3" r:id="rId1" xr:uid="{5147AC51-3D20-2347-988A-5B9B21BBB07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153</v>
      </c>
    </row>
    <row r="4" spans="2:4" x14ac:dyDescent="0.3">
      <c r="B4" s="1" t="s">
        <v>154</v>
      </c>
    </row>
    <row r="6" spans="2:4" x14ac:dyDescent="0.3">
      <c r="C6" s="26" t="s">
        <v>155</v>
      </c>
      <c r="D6" s="26" t="s">
        <v>156</v>
      </c>
    </row>
    <row r="7" spans="2:4" x14ac:dyDescent="0.3">
      <c r="C7" s="48">
        <v>1</v>
      </c>
      <c r="D7" s="48" t="s">
        <v>157</v>
      </c>
    </row>
    <row r="8" spans="2:4" x14ac:dyDescent="0.3">
      <c r="C8" s="48">
        <v>0</v>
      </c>
      <c r="D8" s="48" t="s">
        <v>158</v>
      </c>
    </row>
    <row r="11" spans="2:4" x14ac:dyDescent="0.3">
      <c r="B11" s="1" t="s">
        <v>159</v>
      </c>
      <c r="C11" s="49" t="s">
        <v>160</v>
      </c>
    </row>
    <row r="12" spans="2:4" ht="29" x14ac:dyDescent="0.3">
      <c r="B12" s="1" t="s">
        <v>161</v>
      </c>
      <c r="C12" s="49" t="s">
        <v>162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31</v>
      </c>
    </row>
    <row r="2" spans="1:4" x14ac:dyDescent="0.25">
      <c r="A2" s="2" t="s">
        <v>32</v>
      </c>
      <c r="B2" s="3"/>
    </row>
    <row r="3" spans="1:4" x14ac:dyDescent="0.25">
      <c r="A3" s="2" t="s">
        <v>33</v>
      </c>
    </row>
    <row r="4" spans="1:4" x14ac:dyDescent="0.25">
      <c r="A4" s="2" t="s">
        <v>34</v>
      </c>
    </row>
    <row r="5" spans="1:4" x14ac:dyDescent="0.25">
      <c r="A5" s="2" t="s">
        <v>35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3"/>
  </cols>
  <sheetData>
    <row r="3" spans="2:4" x14ac:dyDescent="0.3">
      <c r="B3" s="13" t="s">
        <v>36</v>
      </c>
    </row>
    <row r="4" spans="2:4" x14ac:dyDescent="0.3">
      <c r="C4" s="13" t="s">
        <v>37</v>
      </c>
    </row>
    <row r="5" spans="2:4" x14ac:dyDescent="0.3">
      <c r="D5" s="14" t="s">
        <v>38</v>
      </c>
    </row>
    <row r="6" spans="2:4" x14ac:dyDescent="0.3">
      <c r="D6" s="14" t="s">
        <v>39</v>
      </c>
    </row>
    <row r="7" spans="2:4" x14ac:dyDescent="0.3">
      <c r="D7" s="14" t="s">
        <v>40</v>
      </c>
    </row>
    <row r="8" spans="2:4" x14ac:dyDescent="0.3">
      <c r="C8" s="13" t="s">
        <v>41</v>
      </c>
    </row>
    <row r="9" spans="2:4" x14ac:dyDescent="0.3">
      <c r="D9" s="14" t="s">
        <v>42</v>
      </c>
    </row>
    <row r="10" spans="2:4" x14ac:dyDescent="0.3">
      <c r="D10" s="14" t="s">
        <v>43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"/>
  </cols>
  <sheetData>
    <row r="1" spans="1:6" x14ac:dyDescent="0.2">
      <c r="B1" s="15" t="s">
        <v>49</v>
      </c>
      <c r="C1" s="15" t="s">
        <v>50</v>
      </c>
      <c r="D1" s="15" t="s">
        <v>51</v>
      </c>
      <c r="E1" s="15" t="s">
        <v>52</v>
      </c>
      <c r="F1" s="15" t="s">
        <v>53</v>
      </c>
    </row>
    <row r="2" spans="1:6" x14ac:dyDescent="0.2">
      <c r="A2" s="15">
        <v>1</v>
      </c>
      <c r="B2" s="15">
        <v>5.0999999999999996</v>
      </c>
      <c r="C2" s="15">
        <v>3.5</v>
      </c>
      <c r="D2" s="15">
        <v>1.4</v>
      </c>
      <c r="E2" s="15">
        <v>0.2</v>
      </c>
      <c r="F2" s="15" t="s">
        <v>54</v>
      </c>
    </row>
    <row r="3" spans="1:6" x14ac:dyDescent="0.2">
      <c r="A3" s="15">
        <v>2</v>
      </c>
      <c r="B3" s="15">
        <v>4.9000000000000004</v>
      </c>
      <c r="C3" s="15">
        <v>3</v>
      </c>
      <c r="D3" s="15">
        <v>1.4</v>
      </c>
      <c r="E3" s="15">
        <v>0.2</v>
      </c>
      <c r="F3" s="15" t="s">
        <v>54</v>
      </c>
    </row>
    <row r="4" spans="1:6" x14ac:dyDescent="0.2">
      <c r="A4" s="15">
        <v>3</v>
      </c>
      <c r="B4" s="15">
        <v>4.7</v>
      </c>
      <c r="C4" s="15">
        <v>3.2</v>
      </c>
      <c r="D4" s="15">
        <v>1.3</v>
      </c>
      <c r="E4" s="15">
        <v>0.2</v>
      </c>
      <c r="F4" s="15" t="s">
        <v>54</v>
      </c>
    </row>
    <row r="5" spans="1:6" x14ac:dyDescent="0.2">
      <c r="A5" s="15">
        <v>4</v>
      </c>
      <c r="B5" s="15">
        <v>4.5999999999999996</v>
      </c>
      <c r="C5" s="15">
        <v>3.1</v>
      </c>
      <c r="D5" s="15">
        <v>1.5</v>
      </c>
      <c r="E5" s="15">
        <v>0.2</v>
      </c>
      <c r="F5" s="15" t="s">
        <v>54</v>
      </c>
    </row>
    <row r="6" spans="1:6" x14ac:dyDescent="0.2">
      <c r="A6" s="15">
        <v>5</v>
      </c>
      <c r="B6" s="15">
        <v>5</v>
      </c>
      <c r="C6" s="15">
        <v>3.6</v>
      </c>
      <c r="D6" s="15">
        <v>1.4</v>
      </c>
      <c r="E6" s="15">
        <v>0.2</v>
      </c>
      <c r="F6" s="15" t="s">
        <v>54</v>
      </c>
    </row>
    <row r="7" spans="1:6" x14ac:dyDescent="0.2">
      <c r="A7" s="15">
        <v>6</v>
      </c>
      <c r="B7" s="15">
        <v>5.4</v>
      </c>
      <c r="C7" s="15">
        <v>3.9</v>
      </c>
      <c r="D7" s="15">
        <v>1.7</v>
      </c>
      <c r="E7" s="15">
        <v>0.4</v>
      </c>
      <c r="F7" s="15" t="s">
        <v>54</v>
      </c>
    </row>
    <row r="8" spans="1:6" x14ac:dyDescent="0.2">
      <c r="A8" s="15">
        <v>7</v>
      </c>
      <c r="B8" s="15">
        <v>4.5999999999999996</v>
      </c>
      <c r="C8" s="15">
        <v>3.4</v>
      </c>
      <c r="D8" s="15">
        <v>1.4</v>
      </c>
      <c r="E8" s="15">
        <v>0.3</v>
      </c>
      <c r="F8" s="15" t="s">
        <v>54</v>
      </c>
    </row>
    <row r="9" spans="1:6" x14ac:dyDescent="0.2">
      <c r="A9" s="15">
        <v>8</v>
      </c>
      <c r="B9" s="15">
        <v>5</v>
      </c>
      <c r="C9" s="15">
        <v>3.4</v>
      </c>
      <c r="D9" s="15">
        <v>1.5</v>
      </c>
      <c r="E9" s="15">
        <v>0.2</v>
      </c>
      <c r="F9" s="15" t="s">
        <v>54</v>
      </c>
    </row>
    <row r="10" spans="1:6" x14ac:dyDescent="0.2">
      <c r="A10" s="15">
        <v>9</v>
      </c>
      <c r="B10" s="15">
        <v>4.4000000000000004</v>
      </c>
      <c r="C10" s="15">
        <v>2.9</v>
      </c>
      <c r="D10" s="15">
        <v>1.4</v>
      </c>
      <c r="E10" s="15">
        <v>0.2</v>
      </c>
      <c r="F10" s="15" t="s">
        <v>54</v>
      </c>
    </row>
    <row r="11" spans="1:6" x14ac:dyDescent="0.2">
      <c r="A11" s="15">
        <v>10</v>
      </c>
      <c r="B11" s="15">
        <v>4.9000000000000004</v>
      </c>
      <c r="C11" s="15">
        <v>3.1</v>
      </c>
      <c r="D11" s="15">
        <v>1.5</v>
      </c>
      <c r="E11" s="15">
        <v>0.1</v>
      </c>
      <c r="F11" s="15" t="s">
        <v>54</v>
      </c>
    </row>
    <row r="12" spans="1:6" x14ac:dyDescent="0.2">
      <c r="A12" s="15">
        <v>11</v>
      </c>
      <c r="B12" s="15">
        <v>5.4</v>
      </c>
      <c r="C12" s="15">
        <v>3.7</v>
      </c>
      <c r="D12" s="15">
        <v>1.5</v>
      </c>
      <c r="E12" s="15">
        <v>0.2</v>
      </c>
      <c r="F12" s="15" t="s">
        <v>54</v>
      </c>
    </row>
    <row r="13" spans="1:6" x14ac:dyDescent="0.2">
      <c r="A13" s="15">
        <v>12</v>
      </c>
      <c r="B13" s="15">
        <v>4.8</v>
      </c>
      <c r="C13" s="15">
        <v>3.4</v>
      </c>
      <c r="D13" s="15">
        <v>1.6</v>
      </c>
      <c r="E13" s="15">
        <v>0.2</v>
      </c>
      <c r="F13" s="15" t="s">
        <v>54</v>
      </c>
    </row>
    <row r="14" spans="1:6" x14ac:dyDescent="0.2">
      <c r="A14" s="15">
        <v>13</v>
      </c>
      <c r="B14" s="15">
        <v>4.8</v>
      </c>
      <c r="C14" s="15">
        <v>3</v>
      </c>
      <c r="D14" s="15">
        <v>1.4</v>
      </c>
      <c r="E14" s="15">
        <v>0.1</v>
      </c>
      <c r="F14" s="15" t="s">
        <v>54</v>
      </c>
    </row>
    <row r="15" spans="1:6" x14ac:dyDescent="0.2">
      <c r="A15" s="15">
        <v>14</v>
      </c>
      <c r="B15" s="15">
        <v>4.3</v>
      </c>
      <c r="C15" s="15">
        <v>3</v>
      </c>
      <c r="D15" s="15">
        <v>1.1000000000000001</v>
      </c>
      <c r="E15" s="15">
        <v>0.1</v>
      </c>
      <c r="F15" s="15" t="s">
        <v>54</v>
      </c>
    </row>
    <row r="16" spans="1:6" x14ac:dyDescent="0.2">
      <c r="A16" s="15">
        <v>15</v>
      </c>
      <c r="B16" s="15">
        <v>5.8</v>
      </c>
      <c r="C16" s="15">
        <v>4</v>
      </c>
      <c r="D16" s="15">
        <v>1.2</v>
      </c>
      <c r="E16" s="15">
        <v>0.2</v>
      </c>
      <c r="F16" s="15" t="s">
        <v>54</v>
      </c>
    </row>
    <row r="17" spans="1:6" x14ac:dyDescent="0.2">
      <c r="A17" s="15">
        <v>16</v>
      </c>
      <c r="B17" s="15">
        <v>5.7</v>
      </c>
      <c r="C17" s="15">
        <v>4.4000000000000004</v>
      </c>
      <c r="D17" s="15">
        <v>1.5</v>
      </c>
      <c r="E17" s="15">
        <v>0.4</v>
      </c>
      <c r="F17" s="15" t="s">
        <v>54</v>
      </c>
    </row>
    <row r="18" spans="1:6" x14ac:dyDescent="0.2">
      <c r="A18" s="15">
        <v>17</v>
      </c>
      <c r="B18" s="15">
        <v>5.4</v>
      </c>
      <c r="C18" s="15">
        <v>3.9</v>
      </c>
      <c r="D18" s="15">
        <v>1.3</v>
      </c>
      <c r="E18" s="15">
        <v>0.4</v>
      </c>
      <c r="F18" s="15" t="s">
        <v>54</v>
      </c>
    </row>
    <row r="19" spans="1:6" x14ac:dyDescent="0.2">
      <c r="A19" s="15">
        <v>18</v>
      </c>
      <c r="B19" s="15">
        <v>5.0999999999999996</v>
      </c>
      <c r="C19" s="15">
        <v>3.5</v>
      </c>
      <c r="D19" s="15">
        <v>1.4</v>
      </c>
      <c r="E19" s="15">
        <v>0.3</v>
      </c>
      <c r="F19" s="15" t="s">
        <v>54</v>
      </c>
    </row>
    <row r="20" spans="1:6" x14ac:dyDescent="0.2">
      <c r="A20" s="15">
        <v>19</v>
      </c>
      <c r="B20" s="15">
        <v>5.7</v>
      </c>
      <c r="C20" s="15">
        <v>3.8</v>
      </c>
      <c r="D20" s="15">
        <v>1.7</v>
      </c>
      <c r="E20" s="15">
        <v>0.3</v>
      </c>
      <c r="F20" s="15" t="s">
        <v>54</v>
      </c>
    </row>
    <row r="21" spans="1:6" x14ac:dyDescent="0.2">
      <c r="A21" s="15">
        <v>20</v>
      </c>
      <c r="B21" s="15">
        <v>5.0999999999999996</v>
      </c>
      <c r="C21" s="15">
        <v>3.8</v>
      </c>
      <c r="D21" s="15">
        <v>1.5</v>
      </c>
      <c r="E21" s="15">
        <v>0.3</v>
      </c>
      <c r="F21" s="15" t="s">
        <v>54</v>
      </c>
    </row>
    <row r="22" spans="1:6" x14ac:dyDescent="0.2">
      <c r="A22" s="15">
        <v>21</v>
      </c>
      <c r="B22" s="15">
        <v>5.4</v>
      </c>
      <c r="C22" s="15">
        <v>3.4</v>
      </c>
      <c r="D22" s="15">
        <v>1.7</v>
      </c>
      <c r="E22" s="15">
        <v>0.2</v>
      </c>
      <c r="F22" s="15" t="s">
        <v>54</v>
      </c>
    </row>
    <row r="23" spans="1:6" x14ac:dyDescent="0.2">
      <c r="A23" s="15">
        <v>22</v>
      </c>
      <c r="B23" s="15">
        <v>5.0999999999999996</v>
      </c>
      <c r="C23" s="15">
        <v>3.7</v>
      </c>
      <c r="D23" s="15">
        <v>1.5</v>
      </c>
      <c r="E23" s="15">
        <v>0.4</v>
      </c>
      <c r="F23" s="15" t="s">
        <v>54</v>
      </c>
    </row>
    <row r="24" spans="1:6" x14ac:dyDescent="0.2">
      <c r="A24" s="15">
        <v>23</v>
      </c>
      <c r="B24" s="15">
        <v>4.5999999999999996</v>
      </c>
      <c r="C24" s="15">
        <v>3.6</v>
      </c>
      <c r="D24" s="15">
        <v>1</v>
      </c>
      <c r="E24" s="15">
        <v>0.2</v>
      </c>
      <c r="F24" s="15" t="s">
        <v>54</v>
      </c>
    </row>
    <row r="25" spans="1:6" x14ac:dyDescent="0.2">
      <c r="A25" s="15">
        <v>24</v>
      </c>
      <c r="B25" s="15">
        <v>5.0999999999999996</v>
      </c>
      <c r="C25" s="15">
        <v>3.3</v>
      </c>
      <c r="D25" s="15">
        <v>1.7</v>
      </c>
      <c r="E25" s="15">
        <v>0.5</v>
      </c>
      <c r="F25" s="15" t="s">
        <v>54</v>
      </c>
    </row>
    <row r="26" spans="1:6" x14ac:dyDescent="0.2">
      <c r="A26" s="15">
        <v>25</v>
      </c>
      <c r="B26" s="15">
        <v>4.8</v>
      </c>
      <c r="C26" s="15">
        <v>3.4</v>
      </c>
      <c r="D26" s="15">
        <v>1.9</v>
      </c>
      <c r="E26" s="15">
        <v>0.2</v>
      </c>
      <c r="F26" s="15" t="s">
        <v>54</v>
      </c>
    </row>
    <row r="27" spans="1:6" x14ac:dyDescent="0.2">
      <c r="A27" s="15">
        <v>26</v>
      </c>
      <c r="B27" s="15">
        <v>5</v>
      </c>
      <c r="C27" s="15">
        <v>3</v>
      </c>
      <c r="D27" s="15">
        <v>1.6</v>
      </c>
      <c r="E27" s="15">
        <v>0.2</v>
      </c>
      <c r="F27" s="15" t="s">
        <v>54</v>
      </c>
    </row>
    <row r="28" spans="1:6" x14ac:dyDescent="0.2">
      <c r="A28" s="15">
        <v>27</v>
      </c>
      <c r="B28" s="15">
        <v>5</v>
      </c>
      <c r="C28" s="15">
        <v>3.4</v>
      </c>
      <c r="D28" s="15">
        <v>1.6</v>
      </c>
      <c r="E28" s="15">
        <v>0.4</v>
      </c>
      <c r="F28" s="15" t="s">
        <v>54</v>
      </c>
    </row>
    <row r="29" spans="1:6" x14ac:dyDescent="0.2">
      <c r="A29" s="15">
        <v>28</v>
      </c>
      <c r="B29" s="15">
        <v>5.2</v>
      </c>
      <c r="C29" s="15">
        <v>3.5</v>
      </c>
      <c r="D29" s="15">
        <v>1.5</v>
      </c>
      <c r="E29" s="15">
        <v>0.2</v>
      </c>
      <c r="F29" s="15" t="s">
        <v>54</v>
      </c>
    </row>
    <row r="30" spans="1:6" x14ac:dyDescent="0.2">
      <c r="A30" s="15">
        <v>29</v>
      </c>
      <c r="B30" s="15">
        <v>5.2</v>
      </c>
      <c r="C30" s="15">
        <v>3.4</v>
      </c>
      <c r="D30" s="15">
        <v>1.4</v>
      </c>
      <c r="E30" s="15">
        <v>0.2</v>
      </c>
      <c r="F30" s="15" t="s">
        <v>54</v>
      </c>
    </row>
    <row r="31" spans="1:6" x14ac:dyDescent="0.2">
      <c r="A31" s="15">
        <v>30</v>
      </c>
      <c r="B31" s="15">
        <v>4.7</v>
      </c>
      <c r="C31" s="15">
        <v>3.2</v>
      </c>
      <c r="D31" s="15">
        <v>1.6</v>
      </c>
      <c r="E31" s="15">
        <v>0.2</v>
      </c>
      <c r="F31" s="15" t="s">
        <v>54</v>
      </c>
    </row>
    <row r="32" spans="1:6" x14ac:dyDescent="0.2">
      <c r="A32" s="15">
        <v>31</v>
      </c>
      <c r="B32" s="15">
        <v>4.8</v>
      </c>
      <c r="C32" s="15">
        <v>3.1</v>
      </c>
      <c r="D32" s="15">
        <v>1.6</v>
      </c>
      <c r="E32" s="15">
        <v>0.2</v>
      </c>
      <c r="F32" s="15" t="s">
        <v>54</v>
      </c>
    </row>
    <row r="33" spans="1:6" x14ac:dyDescent="0.2">
      <c r="A33" s="15">
        <v>32</v>
      </c>
      <c r="B33" s="15">
        <v>5.4</v>
      </c>
      <c r="C33" s="15">
        <v>3.4</v>
      </c>
      <c r="D33" s="15">
        <v>1.5</v>
      </c>
      <c r="E33" s="15">
        <v>0.4</v>
      </c>
      <c r="F33" s="15" t="s">
        <v>54</v>
      </c>
    </row>
    <row r="34" spans="1:6" x14ac:dyDescent="0.2">
      <c r="A34" s="15">
        <v>33</v>
      </c>
      <c r="B34" s="15">
        <v>5.2</v>
      </c>
      <c r="C34" s="15">
        <v>4.0999999999999996</v>
      </c>
      <c r="D34" s="15">
        <v>1.5</v>
      </c>
      <c r="E34" s="15">
        <v>0.1</v>
      </c>
      <c r="F34" s="15" t="s">
        <v>54</v>
      </c>
    </row>
    <row r="35" spans="1:6" x14ac:dyDescent="0.2">
      <c r="A35" s="15">
        <v>34</v>
      </c>
      <c r="B35" s="15">
        <v>5.5</v>
      </c>
      <c r="C35" s="15">
        <v>4.2</v>
      </c>
      <c r="D35" s="15">
        <v>1.4</v>
      </c>
      <c r="E35" s="15">
        <v>0.2</v>
      </c>
      <c r="F35" s="15" t="s">
        <v>54</v>
      </c>
    </row>
    <row r="36" spans="1:6" x14ac:dyDescent="0.2">
      <c r="A36" s="15">
        <v>35</v>
      </c>
      <c r="B36" s="15">
        <v>4.9000000000000004</v>
      </c>
      <c r="C36" s="15">
        <v>3.1</v>
      </c>
      <c r="D36" s="15">
        <v>1.5</v>
      </c>
      <c r="E36" s="15">
        <v>0.2</v>
      </c>
      <c r="F36" s="15" t="s">
        <v>54</v>
      </c>
    </row>
    <row r="37" spans="1:6" x14ac:dyDescent="0.2">
      <c r="A37" s="15">
        <v>36</v>
      </c>
      <c r="B37" s="15">
        <v>5</v>
      </c>
      <c r="C37" s="15">
        <v>3.2</v>
      </c>
      <c r="D37" s="15">
        <v>1.2</v>
      </c>
      <c r="E37" s="15">
        <v>0.2</v>
      </c>
      <c r="F37" s="15" t="s">
        <v>54</v>
      </c>
    </row>
    <row r="38" spans="1:6" x14ac:dyDescent="0.2">
      <c r="A38" s="15">
        <v>37</v>
      </c>
      <c r="B38" s="15">
        <v>5.5</v>
      </c>
      <c r="C38" s="15">
        <v>3.5</v>
      </c>
      <c r="D38" s="15">
        <v>1.3</v>
      </c>
      <c r="E38" s="15">
        <v>0.2</v>
      </c>
      <c r="F38" s="15" t="s">
        <v>54</v>
      </c>
    </row>
    <row r="39" spans="1:6" x14ac:dyDescent="0.2">
      <c r="A39" s="15">
        <v>38</v>
      </c>
      <c r="B39" s="15">
        <v>4.9000000000000004</v>
      </c>
      <c r="C39" s="15">
        <v>3.6</v>
      </c>
      <c r="D39" s="15">
        <v>1.4</v>
      </c>
      <c r="E39" s="15">
        <v>0.1</v>
      </c>
      <c r="F39" s="15" t="s">
        <v>54</v>
      </c>
    </row>
    <row r="40" spans="1:6" x14ac:dyDescent="0.2">
      <c r="A40" s="15">
        <v>39</v>
      </c>
      <c r="B40" s="15">
        <v>4.4000000000000004</v>
      </c>
      <c r="C40" s="15">
        <v>3</v>
      </c>
      <c r="D40" s="15">
        <v>1.3</v>
      </c>
      <c r="E40" s="15">
        <v>0.2</v>
      </c>
      <c r="F40" s="15" t="s">
        <v>54</v>
      </c>
    </row>
    <row r="41" spans="1:6" x14ac:dyDescent="0.2">
      <c r="A41" s="15">
        <v>40</v>
      </c>
      <c r="B41" s="15">
        <v>5.0999999999999996</v>
      </c>
      <c r="C41" s="15">
        <v>3.4</v>
      </c>
      <c r="D41" s="15">
        <v>1.5</v>
      </c>
      <c r="E41" s="15">
        <v>0.2</v>
      </c>
      <c r="F41" s="15" t="s">
        <v>54</v>
      </c>
    </row>
    <row r="42" spans="1:6" x14ac:dyDescent="0.2">
      <c r="A42" s="15">
        <v>41</v>
      </c>
      <c r="B42" s="15">
        <v>5</v>
      </c>
      <c r="C42" s="15">
        <v>3.5</v>
      </c>
      <c r="D42" s="15">
        <v>1.3</v>
      </c>
      <c r="E42" s="15">
        <v>0.3</v>
      </c>
      <c r="F42" s="15" t="s">
        <v>54</v>
      </c>
    </row>
    <row r="43" spans="1:6" x14ac:dyDescent="0.2">
      <c r="A43" s="15">
        <v>42</v>
      </c>
      <c r="B43" s="15">
        <v>4.5</v>
      </c>
      <c r="C43" s="15">
        <v>2.2999999999999998</v>
      </c>
      <c r="D43" s="15">
        <v>1.3</v>
      </c>
      <c r="E43" s="15">
        <v>0.3</v>
      </c>
      <c r="F43" s="15" t="s">
        <v>54</v>
      </c>
    </row>
    <row r="44" spans="1:6" x14ac:dyDescent="0.2">
      <c r="A44" s="15">
        <v>43</v>
      </c>
      <c r="B44" s="15">
        <v>4.4000000000000004</v>
      </c>
      <c r="C44" s="15">
        <v>3.2</v>
      </c>
      <c r="D44" s="15">
        <v>1.3</v>
      </c>
      <c r="E44" s="15">
        <v>0.2</v>
      </c>
      <c r="F44" s="15" t="s">
        <v>54</v>
      </c>
    </row>
    <row r="45" spans="1:6" x14ac:dyDescent="0.2">
      <c r="A45" s="15">
        <v>44</v>
      </c>
      <c r="B45" s="15">
        <v>5</v>
      </c>
      <c r="C45" s="15">
        <v>3.5</v>
      </c>
      <c r="D45" s="15">
        <v>1.6</v>
      </c>
      <c r="E45" s="15">
        <v>0.6</v>
      </c>
      <c r="F45" s="15" t="s">
        <v>54</v>
      </c>
    </row>
    <row r="46" spans="1:6" x14ac:dyDescent="0.2">
      <c r="A46" s="15">
        <v>45</v>
      </c>
      <c r="B46" s="15">
        <v>5.0999999999999996</v>
      </c>
      <c r="C46" s="15">
        <v>3.8</v>
      </c>
      <c r="D46" s="15">
        <v>1.9</v>
      </c>
      <c r="E46" s="15">
        <v>0.4</v>
      </c>
      <c r="F46" s="15" t="s">
        <v>54</v>
      </c>
    </row>
    <row r="47" spans="1:6" x14ac:dyDescent="0.2">
      <c r="A47" s="15">
        <v>46</v>
      </c>
      <c r="B47" s="15">
        <v>4.8</v>
      </c>
      <c r="C47" s="15">
        <v>3</v>
      </c>
      <c r="D47" s="15">
        <v>1.4</v>
      </c>
      <c r="E47" s="15">
        <v>0.3</v>
      </c>
      <c r="F47" s="15" t="s">
        <v>54</v>
      </c>
    </row>
    <row r="48" spans="1:6" x14ac:dyDescent="0.2">
      <c r="A48" s="15">
        <v>47</v>
      </c>
      <c r="B48" s="15">
        <v>5.0999999999999996</v>
      </c>
      <c r="C48" s="15">
        <v>3.8</v>
      </c>
      <c r="D48" s="15">
        <v>1.6</v>
      </c>
      <c r="E48" s="15">
        <v>0.2</v>
      </c>
      <c r="F48" s="15" t="s">
        <v>54</v>
      </c>
    </row>
    <row r="49" spans="1:6" x14ac:dyDescent="0.2">
      <c r="A49" s="15">
        <v>48</v>
      </c>
      <c r="B49" s="15">
        <v>4.5999999999999996</v>
      </c>
      <c r="C49" s="15">
        <v>3.2</v>
      </c>
      <c r="D49" s="15">
        <v>1.4</v>
      </c>
      <c r="E49" s="15">
        <v>0.2</v>
      </c>
      <c r="F49" s="15" t="s">
        <v>54</v>
      </c>
    </row>
    <row r="50" spans="1:6" x14ac:dyDescent="0.2">
      <c r="A50" s="15">
        <v>49</v>
      </c>
      <c r="B50" s="15">
        <v>5.3</v>
      </c>
      <c r="C50" s="15">
        <v>3.7</v>
      </c>
      <c r="D50" s="15">
        <v>1.5</v>
      </c>
      <c r="E50" s="15">
        <v>0.2</v>
      </c>
      <c r="F50" s="15" t="s">
        <v>54</v>
      </c>
    </row>
    <row r="51" spans="1:6" x14ac:dyDescent="0.2">
      <c r="A51" s="15">
        <v>50</v>
      </c>
      <c r="B51" s="15">
        <v>5</v>
      </c>
      <c r="C51" s="15">
        <v>3.3</v>
      </c>
      <c r="D51" s="15">
        <v>1.4</v>
      </c>
      <c r="E51" s="15">
        <v>0.2</v>
      </c>
      <c r="F51" s="15" t="s">
        <v>54</v>
      </c>
    </row>
    <row r="52" spans="1:6" x14ac:dyDescent="0.2">
      <c r="A52" s="15">
        <v>51</v>
      </c>
      <c r="B52" s="15">
        <v>7</v>
      </c>
      <c r="C52" s="15">
        <v>3.2</v>
      </c>
      <c r="D52" s="15">
        <v>4.7</v>
      </c>
      <c r="E52" s="15">
        <v>1.4</v>
      </c>
      <c r="F52" s="15" t="s">
        <v>55</v>
      </c>
    </row>
    <row r="53" spans="1:6" x14ac:dyDescent="0.2">
      <c r="A53" s="15">
        <v>52</v>
      </c>
      <c r="B53" s="15">
        <v>6.4</v>
      </c>
      <c r="C53" s="15">
        <v>3.2</v>
      </c>
      <c r="D53" s="15">
        <v>4.5</v>
      </c>
      <c r="E53" s="15">
        <v>1.5</v>
      </c>
      <c r="F53" s="15" t="s">
        <v>55</v>
      </c>
    </row>
    <row r="54" spans="1:6" x14ac:dyDescent="0.2">
      <c r="A54" s="15">
        <v>53</v>
      </c>
      <c r="B54" s="15">
        <v>6.9</v>
      </c>
      <c r="C54" s="15">
        <v>3.1</v>
      </c>
      <c r="D54" s="15">
        <v>4.9000000000000004</v>
      </c>
      <c r="E54" s="15">
        <v>1.5</v>
      </c>
      <c r="F54" s="15" t="s">
        <v>55</v>
      </c>
    </row>
    <row r="55" spans="1:6" x14ac:dyDescent="0.2">
      <c r="A55" s="15">
        <v>54</v>
      </c>
      <c r="B55" s="15">
        <v>5.5</v>
      </c>
      <c r="C55" s="15">
        <v>2.2999999999999998</v>
      </c>
      <c r="D55" s="15">
        <v>4</v>
      </c>
      <c r="E55" s="15">
        <v>1.3</v>
      </c>
      <c r="F55" s="15" t="s">
        <v>55</v>
      </c>
    </row>
    <row r="56" spans="1:6" x14ac:dyDescent="0.2">
      <c r="A56" s="15">
        <v>55</v>
      </c>
      <c r="B56" s="15">
        <v>6.5</v>
      </c>
      <c r="C56" s="15">
        <v>2.8</v>
      </c>
      <c r="D56" s="15">
        <v>4.5999999999999996</v>
      </c>
      <c r="E56" s="15">
        <v>1.5</v>
      </c>
      <c r="F56" s="15" t="s">
        <v>55</v>
      </c>
    </row>
    <row r="57" spans="1:6" x14ac:dyDescent="0.2">
      <c r="A57" s="15">
        <v>56</v>
      </c>
      <c r="B57" s="15">
        <v>5.7</v>
      </c>
      <c r="C57" s="15">
        <v>2.8</v>
      </c>
      <c r="D57" s="15">
        <v>4.5</v>
      </c>
      <c r="E57" s="15">
        <v>1.3</v>
      </c>
      <c r="F57" s="15" t="s">
        <v>55</v>
      </c>
    </row>
    <row r="58" spans="1:6" x14ac:dyDescent="0.2">
      <c r="A58" s="15">
        <v>57</v>
      </c>
      <c r="B58" s="15">
        <v>6.3</v>
      </c>
      <c r="C58" s="15">
        <v>3.3</v>
      </c>
      <c r="D58" s="15">
        <v>4.7</v>
      </c>
      <c r="E58" s="15">
        <v>1.6</v>
      </c>
      <c r="F58" s="15" t="s">
        <v>55</v>
      </c>
    </row>
    <row r="59" spans="1:6" x14ac:dyDescent="0.2">
      <c r="A59" s="15">
        <v>58</v>
      </c>
      <c r="B59" s="15">
        <v>4.9000000000000004</v>
      </c>
      <c r="C59" s="15">
        <v>2.4</v>
      </c>
      <c r="D59" s="15">
        <v>3.3</v>
      </c>
      <c r="E59" s="15">
        <v>1</v>
      </c>
      <c r="F59" s="15" t="s">
        <v>55</v>
      </c>
    </row>
    <row r="60" spans="1:6" x14ac:dyDescent="0.2">
      <c r="A60" s="15">
        <v>59</v>
      </c>
      <c r="B60" s="15">
        <v>6.6</v>
      </c>
      <c r="C60" s="15">
        <v>2.9</v>
      </c>
      <c r="D60" s="15">
        <v>4.5999999999999996</v>
      </c>
      <c r="E60" s="15">
        <v>1.3</v>
      </c>
      <c r="F60" s="15" t="s">
        <v>55</v>
      </c>
    </row>
    <row r="61" spans="1:6" x14ac:dyDescent="0.2">
      <c r="A61" s="15">
        <v>60</v>
      </c>
      <c r="B61" s="15">
        <v>5.2</v>
      </c>
      <c r="C61" s="15">
        <v>2.7</v>
      </c>
      <c r="D61" s="15">
        <v>3.9</v>
      </c>
      <c r="E61" s="15">
        <v>1.4</v>
      </c>
      <c r="F61" s="15" t="s">
        <v>55</v>
      </c>
    </row>
    <row r="62" spans="1:6" x14ac:dyDescent="0.2">
      <c r="A62" s="15">
        <v>61</v>
      </c>
      <c r="B62" s="15">
        <v>5</v>
      </c>
      <c r="C62" s="15">
        <v>2</v>
      </c>
      <c r="D62" s="15">
        <v>3.5</v>
      </c>
      <c r="E62" s="15">
        <v>1</v>
      </c>
      <c r="F62" s="15" t="s">
        <v>55</v>
      </c>
    </row>
    <row r="63" spans="1:6" x14ac:dyDescent="0.2">
      <c r="A63" s="15">
        <v>62</v>
      </c>
      <c r="B63" s="15">
        <v>5.9</v>
      </c>
      <c r="C63" s="15">
        <v>3</v>
      </c>
      <c r="D63" s="15">
        <v>4.2</v>
      </c>
      <c r="E63" s="15">
        <v>1.5</v>
      </c>
      <c r="F63" s="15" t="s">
        <v>55</v>
      </c>
    </row>
    <row r="64" spans="1:6" x14ac:dyDescent="0.2">
      <c r="A64" s="15">
        <v>63</v>
      </c>
      <c r="B64" s="15">
        <v>6</v>
      </c>
      <c r="C64" s="15">
        <v>2.2000000000000002</v>
      </c>
      <c r="D64" s="15">
        <v>4</v>
      </c>
      <c r="E64" s="15">
        <v>1</v>
      </c>
      <c r="F64" s="15" t="s">
        <v>55</v>
      </c>
    </row>
    <row r="65" spans="1:6" x14ac:dyDescent="0.2">
      <c r="A65" s="15">
        <v>64</v>
      </c>
      <c r="B65" s="15">
        <v>6.1</v>
      </c>
      <c r="C65" s="15">
        <v>2.9</v>
      </c>
      <c r="D65" s="15">
        <v>4.7</v>
      </c>
      <c r="E65" s="15">
        <v>1.4</v>
      </c>
      <c r="F65" s="15" t="s">
        <v>55</v>
      </c>
    </row>
    <row r="66" spans="1:6" x14ac:dyDescent="0.2">
      <c r="A66" s="15">
        <v>65</v>
      </c>
      <c r="B66" s="15">
        <v>5.6</v>
      </c>
      <c r="C66" s="15">
        <v>2.9</v>
      </c>
      <c r="D66" s="15">
        <v>3.6</v>
      </c>
      <c r="E66" s="15">
        <v>1.3</v>
      </c>
      <c r="F66" s="15" t="s">
        <v>55</v>
      </c>
    </row>
    <row r="67" spans="1:6" x14ac:dyDescent="0.2">
      <c r="A67" s="15">
        <v>66</v>
      </c>
      <c r="B67" s="15">
        <v>6.7</v>
      </c>
      <c r="C67" s="15">
        <v>3.1</v>
      </c>
      <c r="D67" s="15">
        <v>4.4000000000000004</v>
      </c>
      <c r="E67" s="15">
        <v>1.4</v>
      </c>
      <c r="F67" s="15" t="s">
        <v>55</v>
      </c>
    </row>
    <row r="68" spans="1:6" x14ac:dyDescent="0.2">
      <c r="A68" s="15">
        <v>67</v>
      </c>
      <c r="B68" s="15">
        <v>5.6</v>
      </c>
      <c r="C68" s="15">
        <v>3</v>
      </c>
      <c r="D68" s="15">
        <v>4.5</v>
      </c>
      <c r="E68" s="15">
        <v>1.5</v>
      </c>
      <c r="F68" s="15" t="s">
        <v>55</v>
      </c>
    </row>
    <row r="69" spans="1:6" x14ac:dyDescent="0.2">
      <c r="A69" s="15">
        <v>68</v>
      </c>
      <c r="B69" s="15">
        <v>5.8</v>
      </c>
      <c r="C69" s="15">
        <v>2.7</v>
      </c>
      <c r="D69" s="15">
        <v>4.0999999999999996</v>
      </c>
      <c r="E69" s="15">
        <v>1</v>
      </c>
      <c r="F69" s="15" t="s">
        <v>55</v>
      </c>
    </row>
    <row r="70" spans="1:6" x14ac:dyDescent="0.2">
      <c r="A70" s="15">
        <v>69</v>
      </c>
      <c r="B70" s="15">
        <v>6.2</v>
      </c>
      <c r="C70" s="15">
        <v>2.2000000000000002</v>
      </c>
      <c r="D70" s="15">
        <v>4.5</v>
      </c>
      <c r="E70" s="15">
        <v>1.5</v>
      </c>
      <c r="F70" s="15" t="s">
        <v>55</v>
      </c>
    </row>
    <row r="71" spans="1:6" x14ac:dyDescent="0.2">
      <c r="A71" s="15">
        <v>70</v>
      </c>
      <c r="B71" s="15">
        <v>5.6</v>
      </c>
      <c r="C71" s="15">
        <v>2.5</v>
      </c>
      <c r="D71" s="15">
        <v>3.9</v>
      </c>
      <c r="E71" s="15">
        <v>1.1000000000000001</v>
      </c>
      <c r="F71" s="15" t="s">
        <v>55</v>
      </c>
    </row>
    <row r="72" spans="1:6" x14ac:dyDescent="0.2">
      <c r="A72" s="15">
        <v>71</v>
      </c>
      <c r="B72" s="15">
        <v>5.9</v>
      </c>
      <c r="C72" s="15">
        <v>3.2</v>
      </c>
      <c r="D72" s="15">
        <v>4.8</v>
      </c>
      <c r="E72" s="15">
        <v>1.8</v>
      </c>
      <c r="F72" s="15" t="s">
        <v>55</v>
      </c>
    </row>
    <row r="73" spans="1:6" x14ac:dyDescent="0.2">
      <c r="A73" s="15">
        <v>72</v>
      </c>
      <c r="B73" s="15">
        <v>6.1</v>
      </c>
      <c r="C73" s="15">
        <v>2.8</v>
      </c>
      <c r="D73" s="15">
        <v>4</v>
      </c>
      <c r="E73" s="15">
        <v>1.3</v>
      </c>
      <c r="F73" s="15" t="s">
        <v>55</v>
      </c>
    </row>
    <row r="74" spans="1:6" x14ac:dyDescent="0.2">
      <c r="A74" s="15">
        <v>73</v>
      </c>
      <c r="B74" s="15">
        <v>6.3</v>
      </c>
      <c r="C74" s="15">
        <v>2.5</v>
      </c>
      <c r="D74" s="15">
        <v>4.9000000000000004</v>
      </c>
      <c r="E74" s="15">
        <v>1.5</v>
      </c>
      <c r="F74" s="15" t="s">
        <v>55</v>
      </c>
    </row>
    <row r="75" spans="1:6" x14ac:dyDescent="0.2">
      <c r="A75" s="15">
        <v>74</v>
      </c>
      <c r="B75" s="15">
        <v>6.1</v>
      </c>
      <c r="C75" s="15">
        <v>2.8</v>
      </c>
      <c r="D75" s="15">
        <v>4.7</v>
      </c>
      <c r="E75" s="15">
        <v>1.2</v>
      </c>
      <c r="F75" s="15" t="s">
        <v>55</v>
      </c>
    </row>
    <row r="76" spans="1:6" x14ac:dyDescent="0.2">
      <c r="A76" s="15">
        <v>75</v>
      </c>
      <c r="B76" s="15">
        <v>6.4</v>
      </c>
      <c r="C76" s="15">
        <v>2.9</v>
      </c>
      <c r="D76" s="15">
        <v>4.3</v>
      </c>
      <c r="E76" s="15">
        <v>1.3</v>
      </c>
      <c r="F76" s="15" t="s">
        <v>55</v>
      </c>
    </row>
    <row r="77" spans="1:6" x14ac:dyDescent="0.2">
      <c r="A77" s="15">
        <v>76</v>
      </c>
      <c r="B77" s="15">
        <v>6.6</v>
      </c>
      <c r="C77" s="15">
        <v>3</v>
      </c>
      <c r="D77" s="15">
        <v>4.4000000000000004</v>
      </c>
      <c r="E77" s="15">
        <v>1.4</v>
      </c>
      <c r="F77" s="15" t="s">
        <v>55</v>
      </c>
    </row>
    <row r="78" spans="1:6" x14ac:dyDescent="0.2">
      <c r="A78" s="15">
        <v>77</v>
      </c>
      <c r="B78" s="15">
        <v>6.8</v>
      </c>
      <c r="C78" s="15">
        <v>2.8</v>
      </c>
      <c r="D78" s="15">
        <v>4.8</v>
      </c>
      <c r="E78" s="15">
        <v>1.4</v>
      </c>
      <c r="F78" s="15" t="s">
        <v>55</v>
      </c>
    </row>
    <row r="79" spans="1:6" x14ac:dyDescent="0.2">
      <c r="A79" s="15">
        <v>78</v>
      </c>
      <c r="B79" s="15">
        <v>6.7</v>
      </c>
      <c r="C79" s="15">
        <v>3</v>
      </c>
      <c r="D79" s="15">
        <v>5</v>
      </c>
      <c r="E79" s="15">
        <v>1.7</v>
      </c>
      <c r="F79" s="15" t="s">
        <v>55</v>
      </c>
    </row>
    <row r="80" spans="1:6" x14ac:dyDescent="0.2">
      <c r="A80" s="15">
        <v>79</v>
      </c>
      <c r="B80" s="15">
        <v>6</v>
      </c>
      <c r="C80" s="15">
        <v>2.9</v>
      </c>
      <c r="D80" s="15">
        <v>4.5</v>
      </c>
      <c r="E80" s="15">
        <v>1.5</v>
      </c>
      <c r="F80" s="15" t="s">
        <v>55</v>
      </c>
    </row>
    <row r="81" spans="1:6" x14ac:dyDescent="0.2">
      <c r="A81" s="15">
        <v>80</v>
      </c>
      <c r="B81" s="15">
        <v>5.7</v>
      </c>
      <c r="C81" s="15">
        <v>2.6</v>
      </c>
      <c r="D81" s="15">
        <v>3.5</v>
      </c>
      <c r="E81" s="15">
        <v>1</v>
      </c>
      <c r="F81" s="15" t="s">
        <v>55</v>
      </c>
    </row>
    <row r="82" spans="1:6" x14ac:dyDescent="0.2">
      <c r="A82" s="15">
        <v>81</v>
      </c>
      <c r="B82" s="15">
        <v>5.5</v>
      </c>
      <c r="C82" s="15">
        <v>2.4</v>
      </c>
      <c r="D82" s="15">
        <v>3.8</v>
      </c>
      <c r="E82" s="15">
        <v>1.1000000000000001</v>
      </c>
      <c r="F82" s="15" t="s">
        <v>55</v>
      </c>
    </row>
    <row r="83" spans="1:6" x14ac:dyDescent="0.2">
      <c r="A83" s="15">
        <v>82</v>
      </c>
      <c r="B83" s="15">
        <v>5.5</v>
      </c>
      <c r="C83" s="15">
        <v>2.4</v>
      </c>
      <c r="D83" s="15">
        <v>3.7</v>
      </c>
      <c r="E83" s="15">
        <v>1</v>
      </c>
      <c r="F83" s="15" t="s">
        <v>55</v>
      </c>
    </row>
    <row r="84" spans="1:6" x14ac:dyDescent="0.2">
      <c r="A84" s="15">
        <v>83</v>
      </c>
      <c r="B84" s="15">
        <v>5.8</v>
      </c>
      <c r="C84" s="15">
        <v>2.7</v>
      </c>
      <c r="D84" s="15">
        <v>3.9</v>
      </c>
      <c r="E84" s="15">
        <v>1.2</v>
      </c>
      <c r="F84" s="15" t="s">
        <v>55</v>
      </c>
    </row>
    <row r="85" spans="1:6" x14ac:dyDescent="0.2">
      <c r="A85" s="15">
        <v>84</v>
      </c>
      <c r="B85" s="15">
        <v>6</v>
      </c>
      <c r="C85" s="15">
        <v>2.7</v>
      </c>
      <c r="D85" s="15">
        <v>5.0999999999999996</v>
      </c>
      <c r="E85" s="15">
        <v>1.6</v>
      </c>
      <c r="F85" s="15" t="s">
        <v>55</v>
      </c>
    </row>
    <row r="86" spans="1:6" x14ac:dyDescent="0.2">
      <c r="A86" s="15">
        <v>85</v>
      </c>
      <c r="B86" s="15">
        <v>5.4</v>
      </c>
      <c r="C86" s="15">
        <v>3</v>
      </c>
      <c r="D86" s="15">
        <v>4.5</v>
      </c>
      <c r="E86" s="15">
        <v>1.5</v>
      </c>
      <c r="F86" s="15" t="s">
        <v>55</v>
      </c>
    </row>
    <row r="87" spans="1:6" x14ac:dyDescent="0.2">
      <c r="A87" s="15">
        <v>86</v>
      </c>
      <c r="B87" s="15">
        <v>6</v>
      </c>
      <c r="C87" s="15">
        <v>3.4</v>
      </c>
      <c r="D87" s="15">
        <v>4.5</v>
      </c>
      <c r="E87" s="15">
        <v>1.6</v>
      </c>
      <c r="F87" s="15" t="s">
        <v>55</v>
      </c>
    </row>
    <row r="88" spans="1:6" x14ac:dyDescent="0.2">
      <c r="A88" s="15">
        <v>87</v>
      </c>
      <c r="B88" s="15">
        <v>6.7</v>
      </c>
      <c r="C88" s="15">
        <v>3.1</v>
      </c>
      <c r="D88" s="15">
        <v>4.7</v>
      </c>
      <c r="E88" s="15">
        <v>1.5</v>
      </c>
      <c r="F88" s="15" t="s">
        <v>55</v>
      </c>
    </row>
    <row r="89" spans="1:6" x14ac:dyDescent="0.2">
      <c r="A89" s="15">
        <v>88</v>
      </c>
      <c r="B89" s="15">
        <v>6.3</v>
      </c>
      <c r="C89" s="15">
        <v>2.2999999999999998</v>
      </c>
      <c r="D89" s="15">
        <v>4.4000000000000004</v>
      </c>
      <c r="E89" s="15">
        <v>1.3</v>
      </c>
      <c r="F89" s="15" t="s">
        <v>55</v>
      </c>
    </row>
    <row r="90" spans="1:6" x14ac:dyDescent="0.2">
      <c r="A90" s="15">
        <v>89</v>
      </c>
      <c r="B90" s="15">
        <v>5.6</v>
      </c>
      <c r="C90" s="15">
        <v>3</v>
      </c>
      <c r="D90" s="15">
        <v>4.0999999999999996</v>
      </c>
      <c r="E90" s="15">
        <v>1.3</v>
      </c>
      <c r="F90" s="15" t="s">
        <v>55</v>
      </c>
    </row>
    <row r="91" spans="1:6" x14ac:dyDescent="0.2">
      <c r="A91" s="15">
        <v>90</v>
      </c>
      <c r="B91" s="15">
        <v>5.5</v>
      </c>
      <c r="C91" s="15">
        <v>2.5</v>
      </c>
      <c r="D91" s="15">
        <v>4</v>
      </c>
      <c r="E91" s="15">
        <v>1.3</v>
      </c>
      <c r="F91" s="15" t="s">
        <v>55</v>
      </c>
    </row>
    <row r="92" spans="1:6" x14ac:dyDescent="0.2">
      <c r="A92" s="15">
        <v>91</v>
      </c>
      <c r="B92" s="15">
        <v>5.5</v>
      </c>
      <c r="C92" s="15">
        <v>2.6</v>
      </c>
      <c r="D92" s="15">
        <v>4.4000000000000004</v>
      </c>
      <c r="E92" s="15">
        <v>1.2</v>
      </c>
      <c r="F92" s="15" t="s">
        <v>55</v>
      </c>
    </row>
    <row r="93" spans="1:6" x14ac:dyDescent="0.2">
      <c r="A93" s="15">
        <v>92</v>
      </c>
      <c r="B93" s="15">
        <v>6.1</v>
      </c>
      <c r="C93" s="15">
        <v>3</v>
      </c>
      <c r="D93" s="15">
        <v>4.5999999999999996</v>
      </c>
      <c r="E93" s="15">
        <v>1.4</v>
      </c>
      <c r="F93" s="15" t="s">
        <v>55</v>
      </c>
    </row>
    <row r="94" spans="1:6" x14ac:dyDescent="0.2">
      <c r="A94" s="15">
        <v>93</v>
      </c>
      <c r="B94" s="15">
        <v>5.8</v>
      </c>
      <c r="C94" s="15">
        <v>2.6</v>
      </c>
      <c r="D94" s="15">
        <v>4</v>
      </c>
      <c r="E94" s="15">
        <v>1.2</v>
      </c>
      <c r="F94" s="15" t="s">
        <v>55</v>
      </c>
    </row>
    <row r="95" spans="1:6" x14ac:dyDescent="0.2">
      <c r="A95" s="15">
        <v>94</v>
      </c>
      <c r="B95" s="15">
        <v>5</v>
      </c>
      <c r="C95" s="15">
        <v>2.2999999999999998</v>
      </c>
      <c r="D95" s="15">
        <v>3.3</v>
      </c>
      <c r="E95" s="15">
        <v>1</v>
      </c>
      <c r="F95" s="15" t="s">
        <v>55</v>
      </c>
    </row>
    <row r="96" spans="1:6" x14ac:dyDescent="0.2">
      <c r="A96" s="15">
        <v>95</v>
      </c>
      <c r="B96" s="15">
        <v>5.6</v>
      </c>
      <c r="C96" s="15">
        <v>2.7</v>
      </c>
      <c r="D96" s="15">
        <v>4.2</v>
      </c>
      <c r="E96" s="15">
        <v>1.3</v>
      </c>
      <c r="F96" s="15" t="s">
        <v>55</v>
      </c>
    </row>
    <row r="97" spans="1:6" x14ac:dyDescent="0.2">
      <c r="A97" s="15">
        <v>96</v>
      </c>
      <c r="B97" s="15">
        <v>5.7</v>
      </c>
      <c r="C97" s="15">
        <v>3</v>
      </c>
      <c r="D97" s="15">
        <v>4.2</v>
      </c>
      <c r="E97" s="15">
        <v>1.2</v>
      </c>
      <c r="F97" s="15" t="s">
        <v>55</v>
      </c>
    </row>
    <row r="98" spans="1:6" x14ac:dyDescent="0.2">
      <c r="A98" s="15">
        <v>97</v>
      </c>
      <c r="B98" s="15">
        <v>5.7</v>
      </c>
      <c r="C98" s="15">
        <v>2.9</v>
      </c>
      <c r="D98" s="15">
        <v>4.2</v>
      </c>
      <c r="E98" s="15">
        <v>1.3</v>
      </c>
      <c r="F98" s="15" t="s">
        <v>55</v>
      </c>
    </row>
    <row r="99" spans="1:6" x14ac:dyDescent="0.2">
      <c r="A99" s="15">
        <v>98</v>
      </c>
      <c r="B99" s="15">
        <v>6.2</v>
      </c>
      <c r="C99" s="15">
        <v>2.9</v>
      </c>
      <c r="D99" s="15">
        <v>4.3</v>
      </c>
      <c r="E99" s="15">
        <v>1.3</v>
      </c>
      <c r="F99" s="15" t="s">
        <v>55</v>
      </c>
    </row>
    <row r="100" spans="1:6" x14ac:dyDescent="0.2">
      <c r="A100" s="15">
        <v>99</v>
      </c>
      <c r="B100" s="15">
        <v>5.0999999999999996</v>
      </c>
      <c r="C100" s="15">
        <v>2.5</v>
      </c>
      <c r="D100" s="15">
        <v>3</v>
      </c>
      <c r="E100" s="15">
        <v>1.1000000000000001</v>
      </c>
      <c r="F100" s="15" t="s">
        <v>55</v>
      </c>
    </row>
    <row r="101" spans="1:6" x14ac:dyDescent="0.2">
      <c r="A101" s="15">
        <v>100</v>
      </c>
      <c r="B101" s="15">
        <v>5.7</v>
      </c>
      <c r="C101" s="15">
        <v>2.8</v>
      </c>
      <c r="D101" s="15">
        <v>4.0999999999999996</v>
      </c>
      <c r="E101" s="15">
        <v>1.3</v>
      </c>
      <c r="F101" s="15" t="s">
        <v>55</v>
      </c>
    </row>
    <row r="102" spans="1:6" x14ac:dyDescent="0.2">
      <c r="A102" s="15">
        <v>101</v>
      </c>
      <c r="B102" s="15">
        <v>6.3</v>
      </c>
      <c r="C102" s="15">
        <v>3.3</v>
      </c>
      <c r="D102" s="15">
        <v>6</v>
      </c>
      <c r="E102" s="15">
        <v>2.5</v>
      </c>
      <c r="F102" s="15" t="s">
        <v>56</v>
      </c>
    </row>
    <row r="103" spans="1:6" x14ac:dyDescent="0.2">
      <c r="A103" s="15">
        <v>102</v>
      </c>
      <c r="B103" s="15">
        <v>5.8</v>
      </c>
      <c r="C103" s="15">
        <v>2.7</v>
      </c>
      <c r="D103" s="15">
        <v>5.0999999999999996</v>
      </c>
      <c r="E103" s="15">
        <v>1.9</v>
      </c>
      <c r="F103" s="15" t="s">
        <v>56</v>
      </c>
    </row>
    <row r="104" spans="1:6" x14ac:dyDescent="0.2">
      <c r="A104" s="15">
        <v>103</v>
      </c>
      <c r="B104" s="15">
        <v>7.1</v>
      </c>
      <c r="C104" s="15">
        <v>3</v>
      </c>
      <c r="D104" s="15">
        <v>5.9</v>
      </c>
      <c r="E104" s="15">
        <v>2.1</v>
      </c>
      <c r="F104" s="15" t="s">
        <v>56</v>
      </c>
    </row>
    <row r="105" spans="1:6" x14ac:dyDescent="0.2">
      <c r="A105" s="15">
        <v>104</v>
      </c>
      <c r="B105" s="15">
        <v>6.3</v>
      </c>
      <c r="C105" s="15">
        <v>2.9</v>
      </c>
      <c r="D105" s="15">
        <v>5.6</v>
      </c>
      <c r="E105" s="15">
        <v>1.8</v>
      </c>
      <c r="F105" s="15" t="s">
        <v>56</v>
      </c>
    </row>
    <row r="106" spans="1:6" x14ac:dyDescent="0.2">
      <c r="A106" s="15">
        <v>105</v>
      </c>
      <c r="B106" s="15">
        <v>6.5</v>
      </c>
      <c r="C106" s="15">
        <v>3</v>
      </c>
      <c r="D106" s="15">
        <v>5.8</v>
      </c>
      <c r="E106" s="15">
        <v>2.2000000000000002</v>
      </c>
      <c r="F106" s="15" t="s">
        <v>56</v>
      </c>
    </row>
    <row r="107" spans="1:6" x14ac:dyDescent="0.2">
      <c r="A107" s="15">
        <v>106</v>
      </c>
      <c r="B107" s="15">
        <v>7.6</v>
      </c>
      <c r="C107" s="15">
        <v>3</v>
      </c>
      <c r="D107" s="15">
        <v>6.6</v>
      </c>
      <c r="E107" s="15">
        <v>2.1</v>
      </c>
      <c r="F107" s="15" t="s">
        <v>56</v>
      </c>
    </row>
    <row r="108" spans="1:6" x14ac:dyDescent="0.2">
      <c r="A108" s="15">
        <v>107</v>
      </c>
      <c r="B108" s="15">
        <v>4.9000000000000004</v>
      </c>
      <c r="C108" s="15">
        <v>2.5</v>
      </c>
      <c r="D108" s="15">
        <v>4.5</v>
      </c>
      <c r="E108" s="15">
        <v>1.7</v>
      </c>
      <c r="F108" s="15" t="s">
        <v>56</v>
      </c>
    </row>
    <row r="109" spans="1:6" x14ac:dyDescent="0.2">
      <c r="A109" s="15">
        <v>108</v>
      </c>
      <c r="B109" s="15">
        <v>7.3</v>
      </c>
      <c r="C109" s="15">
        <v>2.9</v>
      </c>
      <c r="D109" s="15">
        <v>6.3</v>
      </c>
      <c r="E109" s="15">
        <v>1.8</v>
      </c>
      <c r="F109" s="15" t="s">
        <v>56</v>
      </c>
    </row>
    <row r="110" spans="1:6" x14ac:dyDescent="0.2">
      <c r="A110" s="15">
        <v>109</v>
      </c>
      <c r="B110" s="15">
        <v>6.7</v>
      </c>
      <c r="C110" s="15">
        <v>2.5</v>
      </c>
      <c r="D110" s="15">
        <v>5.8</v>
      </c>
      <c r="E110" s="15">
        <v>1.8</v>
      </c>
      <c r="F110" s="15" t="s">
        <v>56</v>
      </c>
    </row>
    <row r="111" spans="1:6" x14ac:dyDescent="0.2">
      <c r="A111" s="15">
        <v>110</v>
      </c>
      <c r="B111" s="15">
        <v>7.2</v>
      </c>
      <c r="C111" s="15">
        <v>3.6</v>
      </c>
      <c r="D111" s="15">
        <v>6.1</v>
      </c>
      <c r="E111" s="15">
        <v>2.5</v>
      </c>
      <c r="F111" s="15" t="s">
        <v>56</v>
      </c>
    </row>
    <row r="112" spans="1:6" x14ac:dyDescent="0.2">
      <c r="A112" s="15">
        <v>111</v>
      </c>
      <c r="B112" s="15">
        <v>6.5</v>
      </c>
      <c r="C112" s="15">
        <v>3.2</v>
      </c>
      <c r="D112" s="15">
        <v>5.0999999999999996</v>
      </c>
      <c r="E112" s="15">
        <v>2</v>
      </c>
      <c r="F112" s="15" t="s">
        <v>56</v>
      </c>
    </row>
    <row r="113" spans="1:6" x14ac:dyDescent="0.2">
      <c r="A113" s="15">
        <v>112</v>
      </c>
      <c r="B113" s="15">
        <v>6.4</v>
      </c>
      <c r="C113" s="15">
        <v>2.7</v>
      </c>
      <c r="D113" s="15">
        <v>5.3</v>
      </c>
      <c r="E113" s="15">
        <v>1.9</v>
      </c>
      <c r="F113" s="15" t="s">
        <v>56</v>
      </c>
    </row>
    <row r="114" spans="1:6" x14ac:dyDescent="0.2">
      <c r="A114" s="15">
        <v>113</v>
      </c>
      <c r="B114" s="15">
        <v>6.8</v>
      </c>
      <c r="C114" s="15">
        <v>3</v>
      </c>
      <c r="D114" s="15">
        <v>5.5</v>
      </c>
      <c r="E114" s="15">
        <v>2.1</v>
      </c>
      <c r="F114" s="15" t="s">
        <v>56</v>
      </c>
    </row>
    <row r="115" spans="1:6" x14ac:dyDescent="0.2">
      <c r="A115" s="15">
        <v>114</v>
      </c>
      <c r="B115" s="15">
        <v>5.7</v>
      </c>
      <c r="C115" s="15">
        <v>2.5</v>
      </c>
      <c r="D115" s="15">
        <v>5</v>
      </c>
      <c r="E115" s="15">
        <v>2</v>
      </c>
      <c r="F115" s="15" t="s">
        <v>56</v>
      </c>
    </row>
    <row r="116" spans="1:6" x14ac:dyDescent="0.2">
      <c r="A116" s="15">
        <v>115</v>
      </c>
      <c r="B116" s="15">
        <v>5.8</v>
      </c>
      <c r="C116" s="15">
        <v>2.8</v>
      </c>
      <c r="D116" s="15">
        <v>5.0999999999999996</v>
      </c>
      <c r="E116" s="15">
        <v>2.4</v>
      </c>
      <c r="F116" s="15" t="s">
        <v>56</v>
      </c>
    </row>
    <row r="117" spans="1:6" x14ac:dyDescent="0.2">
      <c r="A117" s="15">
        <v>116</v>
      </c>
      <c r="B117" s="15">
        <v>6.4</v>
      </c>
      <c r="C117" s="15">
        <v>3.2</v>
      </c>
      <c r="D117" s="15">
        <v>5.3</v>
      </c>
      <c r="E117" s="15">
        <v>2.2999999999999998</v>
      </c>
      <c r="F117" s="15" t="s">
        <v>56</v>
      </c>
    </row>
    <row r="118" spans="1:6" x14ac:dyDescent="0.2">
      <c r="A118" s="15">
        <v>117</v>
      </c>
      <c r="B118" s="15">
        <v>6.5</v>
      </c>
      <c r="C118" s="15">
        <v>3</v>
      </c>
      <c r="D118" s="15">
        <v>5.5</v>
      </c>
      <c r="E118" s="15">
        <v>1.8</v>
      </c>
      <c r="F118" s="15" t="s">
        <v>56</v>
      </c>
    </row>
    <row r="119" spans="1:6" x14ac:dyDescent="0.2">
      <c r="A119" s="15">
        <v>118</v>
      </c>
      <c r="B119" s="15">
        <v>7.7</v>
      </c>
      <c r="C119" s="15">
        <v>3.8</v>
      </c>
      <c r="D119" s="15">
        <v>6.7</v>
      </c>
      <c r="E119" s="15">
        <v>2.2000000000000002</v>
      </c>
      <c r="F119" s="15" t="s">
        <v>56</v>
      </c>
    </row>
    <row r="120" spans="1:6" x14ac:dyDescent="0.2">
      <c r="A120" s="15">
        <v>119</v>
      </c>
      <c r="B120" s="15">
        <v>7.7</v>
      </c>
      <c r="C120" s="15">
        <v>2.6</v>
      </c>
      <c r="D120" s="15">
        <v>6.9</v>
      </c>
      <c r="E120" s="15">
        <v>2.2999999999999998</v>
      </c>
      <c r="F120" s="15" t="s">
        <v>56</v>
      </c>
    </row>
    <row r="121" spans="1:6" x14ac:dyDescent="0.2">
      <c r="A121" s="15">
        <v>120</v>
      </c>
      <c r="B121" s="15">
        <v>6</v>
      </c>
      <c r="C121" s="15">
        <v>2.2000000000000002</v>
      </c>
      <c r="D121" s="15">
        <v>5</v>
      </c>
      <c r="E121" s="15">
        <v>1.5</v>
      </c>
      <c r="F121" s="15" t="s">
        <v>56</v>
      </c>
    </row>
    <row r="122" spans="1:6" x14ac:dyDescent="0.2">
      <c r="A122" s="15">
        <v>121</v>
      </c>
      <c r="B122" s="15">
        <v>6.9</v>
      </c>
      <c r="C122" s="15">
        <v>3.2</v>
      </c>
      <c r="D122" s="15">
        <v>5.7</v>
      </c>
      <c r="E122" s="15">
        <v>2.2999999999999998</v>
      </c>
      <c r="F122" s="15" t="s">
        <v>56</v>
      </c>
    </row>
    <row r="123" spans="1:6" x14ac:dyDescent="0.2">
      <c r="A123" s="15">
        <v>122</v>
      </c>
      <c r="B123" s="15">
        <v>5.6</v>
      </c>
      <c r="C123" s="15">
        <v>2.8</v>
      </c>
      <c r="D123" s="15">
        <v>4.9000000000000004</v>
      </c>
      <c r="E123" s="15">
        <v>2</v>
      </c>
      <c r="F123" s="15" t="s">
        <v>56</v>
      </c>
    </row>
    <row r="124" spans="1:6" x14ac:dyDescent="0.2">
      <c r="A124" s="15">
        <v>123</v>
      </c>
      <c r="B124" s="15">
        <v>7.7</v>
      </c>
      <c r="C124" s="15">
        <v>2.8</v>
      </c>
      <c r="D124" s="15">
        <v>6.7</v>
      </c>
      <c r="E124" s="15">
        <v>2</v>
      </c>
      <c r="F124" s="15" t="s">
        <v>56</v>
      </c>
    </row>
    <row r="125" spans="1:6" x14ac:dyDescent="0.2">
      <c r="A125" s="15">
        <v>124</v>
      </c>
      <c r="B125" s="15">
        <v>6.3</v>
      </c>
      <c r="C125" s="15">
        <v>2.7</v>
      </c>
      <c r="D125" s="15">
        <v>4.9000000000000004</v>
      </c>
      <c r="E125" s="15">
        <v>1.8</v>
      </c>
      <c r="F125" s="15" t="s">
        <v>56</v>
      </c>
    </row>
    <row r="126" spans="1:6" x14ac:dyDescent="0.2">
      <c r="A126" s="15">
        <v>125</v>
      </c>
      <c r="B126" s="15">
        <v>6.7</v>
      </c>
      <c r="C126" s="15">
        <v>3.3</v>
      </c>
      <c r="D126" s="15">
        <v>5.7</v>
      </c>
      <c r="E126" s="15">
        <v>2.1</v>
      </c>
      <c r="F126" s="15" t="s">
        <v>56</v>
      </c>
    </row>
    <row r="127" spans="1:6" x14ac:dyDescent="0.2">
      <c r="A127" s="15">
        <v>126</v>
      </c>
      <c r="B127" s="15">
        <v>7.2</v>
      </c>
      <c r="C127" s="15">
        <v>3.2</v>
      </c>
      <c r="D127" s="15">
        <v>6</v>
      </c>
      <c r="E127" s="15">
        <v>1.8</v>
      </c>
      <c r="F127" s="15" t="s">
        <v>56</v>
      </c>
    </row>
    <row r="128" spans="1:6" x14ac:dyDescent="0.2">
      <c r="A128" s="15">
        <v>127</v>
      </c>
      <c r="B128" s="15">
        <v>6.2</v>
      </c>
      <c r="C128" s="15">
        <v>2.8</v>
      </c>
      <c r="D128" s="15">
        <v>4.8</v>
      </c>
      <c r="E128" s="15">
        <v>1.8</v>
      </c>
      <c r="F128" s="15" t="s">
        <v>56</v>
      </c>
    </row>
    <row r="129" spans="1:6" x14ac:dyDescent="0.2">
      <c r="A129" s="15">
        <v>128</v>
      </c>
      <c r="B129" s="15">
        <v>6.1</v>
      </c>
      <c r="C129" s="15">
        <v>3</v>
      </c>
      <c r="D129" s="15">
        <v>4.9000000000000004</v>
      </c>
      <c r="E129" s="15">
        <v>1.8</v>
      </c>
      <c r="F129" s="15" t="s">
        <v>56</v>
      </c>
    </row>
    <row r="130" spans="1:6" x14ac:dyDescent="0.2">
      <c r="A130" s="15">
        <v>129</v>
      </c>
      <c r="B130" s="15">
        <v>6.4</v>
      </c>
      <c r="C130" s="15">
        <v>2.8</v>
      </c>
      <c r="D130" s="15">
        <v>5.6</v>
      </c>
      <c r="E130" s="15">
        <v>2.1</v>
      </c>
      <c r="F130" s="15" t="s">
        <v>56</v>
      </c>
    </row>
    <row r="131" spans="1:6" x14ac:dyDescent="0.2">
      <c r="A131" s="15">
        <v>130</v>
      </c>
      <c r="B131" s="15">
        <v>7.2</v>
      </c>
      <c r="C131" s="15">
        <v>3</v>
      </c>
      <c r="D131" s="15">
        <v>5.8</v>
      </c>
      <c r="E131" s="15">
        <v>1.6</v>
      </c>
      <c r="F131" s="15" t="s">
        <v>56</v>
      </c>
    </row>
    <row r="132" spans="1:6" x14ac:dyDescent="0.2">
      <c r="A132" s="15">
        <v>131</v>
      </c>
      <c r="B132" s="15">
        <v>7.4</v>
      </c>
      <c r="C132" s="15">
        <v>2.8</v>
      </c>
      <c r="D132" s="15">
        <v>6.1</v>
      </c>
      <c r="E132" s="15">
        <v>1.9</v>
      </c>
      <c r="F132" s="15" t="s">
        <v>56</v>
      </c>
    </row>
    <row r="133" spans="1:6" x14ac:dyDescent="0.2">
      <c r="A133" s="15">
        <v>132</v>
      </c>
      <c r="B133" s="15">
        <v>7.9</v>
      </c>
      <c r="C133" s="15">
        <v>3.8</v>
      </c>
      <c r="D133" s="15">
        <v>6.4</v>
      </c>
      <c r="E133" s="15">
        <v>2</v>
      </c>
      <c r="F133" s="15" t="s">
        <v>56</v>
      </c>
    </row>
    <row r="134" spans="1:6" x14ac:dyDescent="0.2">
      <c r="A134" s="15">
        <v>133</v>
      </c>
      <c r="B134" s="15">
        <v>6.4</v>
      </c>
      <c r="C134" s="15">
        <v>2.8</v>
      </c>
      <c r="D134" s="15">
        <v>5.6</v>
      </c>
      <c r="E134" s="15">
        <v>2.2000000000000002</v>
      </c>
      <c r="F134" s="15" t="s">
        <v>56</v>
      </c>
    </row>
    <row r="135" spans="1:6" x14ac:dyDescent="0.2">
      <c r="A135" s="15">
        <v>134</v>
      </c>
      <c r="B135" s="15">
        <v>6.3</v>
      </c>
      <c r="C135" s="15">
        <v>2.8</v>
      </c>
      <c r="D135" s="15">
        <v>5.0999999999999996</v>
      </c>
      <c r="E135" s="15">
        <v>1.5</v>
      </c>
      <c r="F135" s="15" t="s">
        <v>56</v>
      </c>
    </row>
    <row r="136" spans="1:6" x14ac:dyDescent="0.2">
      <c r="A136" s="15">
        <v>135</v>
      </c>
      <c r="B136" s="15">
        <v>6.1</v>
      </c>
      <c r="C136" s="15">
        <v>2.6</v>
      </c>
      <c r="D136" s="15">
        <v>5.6</v>
      </c>
      <c r="E136" s="15">
        <v>1.4</v>
      </c>
      <c r="F136" s="15" t="s">
        <v>56</v>
      </c>
    </row>
    <row r="137" spans="1:6" x14ac:dyDescent="0.2">
      <c r="A137" s="15">
        <v>136</v>
      </c>
      <c r="B137" s="15">
        <v>7.7</v>
      </c>
      <c r="C137" s="15">
        <v>3</v>
      </c>
      <c r="D137" s="15">
        <v>6.1</v>
      </c>
      <c r="E137" s="15">
        <v>2.2999999999999998</v>
      </c>
      <c r="F137" s="15" t="s">
        <v>56</v>
      </c>
    </row>
    <row r="138" spans="1:6" x14ac:dyDescent="0.2">
      <c r="A138" s="15">
        <v>137</v>
      </c>
      <c r="B138" s="15">
        <v>6.3</v>
      </c>
      <c r="C138" s="15">
        <v>3.4</v>
      </c>
      <c r="D138" s="15">
        <v>5.6</v>
      </c>
      <c r="E138" s="15">
        <v>2.4</v>
      </c>
      <c r="F138" s="15" t="s">
        <v>56</v>
      </c>
    </row>
    <row r="139" spans="1:6" x14ac:dyDescent="0.2">
      <c r="A139" s="15">
        <v>138</v>
      </c>
      <c r="B139" s="15">
        <v>6.4</v>
      </c>
      <c r="C139" s="15">
        <v>3.1</v>
      </c>
      <c r="D139" s="15">
        <v>5.5</v>
      </c>
      <c r="E139" s="15">
        <v>1.8</v>
      </c>
      <c r="F139" s="15" t="s">
        <v>56</v>
      </c>
    </row>
    <row r="140" spans="1:6" x14ac:dyDescent="0.2">
      <c r="A140" s="15">
        <v>139</v>
      </c>
      <c r="B140" s="15">
        <v>6</v>
      </c>
      <c r="C140" s="15">
        <v>3</v>
      </c>
      <c r="D140" s="15">
        <v>4.8</v>
      </c>
      <c r="E140" s="15">
        <v>1.8</v>
      </c>
      <c r="F140" s="15" t="s">
        <v>56</v>
      </c>
    </row>
    <row r="141" spans="1:6" x14ac:dyDescent="0.2">
      <c r="A141" s="15">
        <v>140</v>
      </c>
      <c r="B141" s="15">
        <v>6.9</v>
      </c>
      <c r="C141" s="15">
        <v>3.1</v>
      </c>
      <c r="D141" s="15">
        <v>5.4</v>
      </c>
      <c r="E141" s="15">
        <v>2.1</v>
      </c>
      <c r="F141" s="15" t="s">
        <v>56</v>
      </c>
    </row>
    <row r="142" spans="1:6" x14ac:dyDescent="0.2">
      <c r="A142" s="15">
        <v>141</v>
      </c>
      <c r="B142" s="15">
        <v>6.7</v>
      </c>
      <c r="C142" s="15">
        <v>3.1</v>
      </c>
      <c r="D142" s="15">
        <v>5.6</v>
      </c>
      <c r="E142" s="15">
        <v>2.4</v>
      </c>
      <c r="F142" s="15" t="s">
        <v>56</v>
      </c>
    </row>
    <row r="143" spans="1:6" x14ac:dyDescent="0.2">
      <c r="A143" s="15">
        <v>142</v>
      </c>
      <c r="B143" s="15">
        <v>6.9</v>
      </c>
      <c r="C143" s="15">
        <v>3.1</v>
      </c>
      <c r="D143" s="15">
        <v>5.0999999999999996</v>
      </c>
      <c r="E143" s="15">
        <v>2.2999999999999998</v>
      </c>
      <c r="F143" s="15" t="s">
        <v>56</v>
      </c>
    </row>
    <row r="144" spans="1:6" x14ac:dyDescent="0.2">
      <c r="A144" s="15">
        <v>143</v>
      </c>
      <c r="B144" s="15">
        <v>5.8</v>
      </c>
      <c r="C144" s="15">
        <v>2.7</v>
      </c>
      <c r="D144" s="15">
        <v>5.0999999999999996</v>
      </c>
      <c r="E144" s="15">
        <v>1.9</v>
      </c>
      <c r="F144" s="15" t="s">
        <v>56</v>
      </c>
    </row>
    <row r="145" spans="1:6" x14ac:dyDescent="0.2">
      <c r="A145" s="15">
        <v>144</v>
      </c>
      <c r="B145" s="15">
        <v>6.8</v>
      </c>
      <c r="C145" s="15">
        <v>3.2</v>
      </c>
      <c r="D145" s="15">
        <v>5.9</v>
      </c>
      <c r="E145" s="15">
        <v>2.2999999999999998</v>
      </c>
      <c r="F145" s="15" t="s">
        <v>56</v>
      </c>
    </row>
    <row r="146" spans="1:6" x14ac:dyDescent="0.2">
      <c r="A146" s="15">
        <v>145</v>
      </c>
      <c r="B146" s="15">
        <v>6.7</v>
      </c>
      <c r="C146" s="15">
        <v>3.3</v>
      </c>
      <c r="D146" s="15">
        <v>5.7</v>
      </c>
      <c r="E146" s="15">
        <v>2.5</v>
      </c>
      <c r="F146" s="15" t="s">
        <v>56</v>
      </c>
    </row>
    <row r="147" spans="1:6" x14ac:dyDescent="0.2">
      <c r="A147" s="15">
        <v>146</v>
      </c>
      <c r="B147" s="15">
        <v>6.7</v>
      </c>
      <c r="C147" s="15">
        <v>3</v>
      </c>
      <c r="D147" s="15">
        <v>5.2</v>
      </c>
      <c r="E147" s="15">
        <v>2.2999999999999998</v>
      </c>
      <c r="F147" s="15" t="s">
        <v>56</v>
      </c>
    </row>
    <row r="148" spans="1:6" x14ac:dyDescent="0.2">
      <c r="A148" s="15">
        <v>147</v>
      </c>
      <c r="B148" s="15">
        <v>6.3</v>
      </c>
      <c r="C148" s="15">
        <v>2.5</v>
      </c>
      <c r="D148" s="15">
        <v>5</v>
      </c>
      <c r="E148" s="15">
        <v>1.9</v>
      </c>
      <c r="F148" s="15" t="s">
        <v>56</v>
      </c>
    </row>
    <row r="149" spans="1:6" x14ac:dyDescent="0.2">
      <c r="A149" s="15">
        <v>148</v>
      </c>
      <c r="B149" s="15">
        <v>6.5</v>
      </c>
      <c r="C149" s="15">
        <v>3</v>
      </c>
      <c r="D149" s="15">
        <v>5.2</v>
      </c>
      <c r="E149" s="15">
        <v>2</v>
      </c>
      <c r="F149" s="15" t="s">
        <v>56</v>
      </c>
    </row>
    <row r="150" spans="1:6" x14ac:dyDescent="0.2">
      <c r="A150" s="15">
        <v>149</v>
      </c>
      <c r="B150" s="15">
        <v>6.2</v>
      </c>
      <c r="C150" s="15">
        <v>3.4</v>
      </c>
      <c r="D150" s="15">
        <v>5.4</v>
      </c>
      <c r="E150" s="15">
        <v>2.2999999999999998</v>
      </c>
      <c r="F150" s="15" t="s">
        <v>56</v>
      </c>
    </row>
    <row r="151" spans="1:6" x14ac:dyDescent="0.2">
      <c r="A151" s="15">
        <v>150</v>
      </c>
      <c r="B151" s="15">
        <v>5.9</v>
      </c>
      <c r="C151" s="15">
        <v>3</v>
      </c>
      <c r="D151" s="15">
        <v>5.0999999999999996</v>
      </c>
      <c r="E151" s="15">
        <v>1.8</v>
      </c>
      <c r="F151" s="15" t="s">
        <v>56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57</v>
      </c>
      <c r="K3" s="16" t="s">
        <v>48</v>
      </c>
    </row>
    <row r="4" spans="2:12" x14ac:dyDescent="0.3">
      <c r="G4" s="17" t="s">
        <v>58</v>
      </c>
      <c r="H4" s="17">
        <v>0</v>
      </c>
      <c r="K4" s="17">
        <f t="array" ref="K4">SUM(LN(K12:K61+0.00000000001))</f>
        <v>-1266.4218011467253</v>
      </c>
    </row>
    <row r="5" spans="2:12" x14ac:dyDescent="0.3">
      <c r="G5" s="17" t="s">
        <v>44</v>
      </c>
      <c r="H5" s="17">
        <v>0</v>
      </c>
    </row>
    <row r="6" spans="2:12" x14ac:dyDescent="0.3">
      <c r="G6" s="17" t="s">
        <v>45</v>
      </c>
      <c r="H6" s="17">
        <v>0</v>
      </c>
    </row>
    <row r="7" spans="2:12" x14ac:dyDescent="0.3">
      <c r="G7" s="17" t="s">
        <v>59</v>
      </c>
      <c r="H7" s="17">
        <v>0</v>
      </c>
    </row>
    <row r="8" spans="2:12" x14ac:dyDescent="0.3">
      <c r="G8" s="17" t="s">
        <v>60</v>
      </c>
      <c r="H8" s="17">
        <v>1.5482559354478314</v>
      </c>
    </row>
    <row r="11" spans="2:12" s="16" customFormat="1" x14ac:dyDescent="0.3">
      <c r="B11" s="16" t="s">
        <v>46</v>
      </c>
      <c r="C11" s="16" t="s">
        <v>47</v>
      </c>
      <c r="D11" s="16" t="s">
        <v>15</v>
      </c>
      <c r="E11" s="16" t="s">
        <v>17</v>
      </c>
      <c r="F11" s="16" t="s">
        <v>61</v>
      </c>
      <c r="G11" s="16" t="s">
        <v>62</v>
      </c>
      <c r="H11" s="16" t="s">
        <v>16</v>
      </c>
      <c r="I11" s="16" t="s">
        <v>63</v>
      </c>
      <c r="J11" s="16" t="s">
        <v>64</v>
      </c>
      <c r="K11" s="16" t="s">
        <v>65</v>
      </c>
      <c r="L11" s="16" t="s">
        <v>14</v>
      </c>
    </row>
    <row r="12" spans="2:12" x14ac:dyDescent="0.3">
      <c r="B12" s="17" cm="1">
        <f t="array" aca="1" ref="B12:G36" ca="1">OFFSET(Iris_Data!A1,1,0,25,6)</f>
        <v>1</v>
      </c>
      <c r="C12" s="17">
        <f ca="1"/>
        <v>5.0999999999999996</v>
      </c>
      <c r="D12" s="17">
        <f ca="1"/>
        <v>3.5</v>
      </c>
      <c r="E12" s="17">
        <f ca="1"/>
        <v>1.4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21"/>
      <c r="J12" s="21"/>
      <c r="K12" s="21"/>
      <c r="L12" s="21"/>
    </row>
    <row r="13" spans="2:12" x14ac:dyDescent="0.3">
      <c r="B13" s="17">
        <f ca="1"/>
        <v>2</v>
      </c>
      <c r="C13" s="17">
        <f ca="1"/>
        <v>4.9000000000000004</v>
      </c>
      <c r="D13" s="17">
        <f ca="1"/>
        <v>3</v>
      </c>
      <c r="E13" s="17">
        <f ca="1"/>
        <v>1.4</v>
      </c>
      <c r="F13" s="17">
        <f ca="1"/>
        <v>0.2</v>
      </c>
      <c r="G13" s="17" t="str">
        <f ca="1"/>
        <v>setosa</v>
      </c>
      <c r="H13" s="17">
        <f t="shared" ca="1" si="0"/>
        <v>0</v>
      </c>
      <c r="I13" s="21"/>
      <c r="J13" s="21"/>
      <c r="K13" s="21"/>
      <c r="L13" s="21"/>
    </row>
    <row r="14" spans="2:12" x14ac:dyDescent="0.3">
      <c r="B14" s="17">
        <f ca="1"/>
        <v>3</v>
      </c>
      <c r="C14" s="17">
        <f ca="1"/>
        <v>4.7</v>
      </c>
      <c r="D14" s="17">
        <f ca="1"/>
        <v>3.2</v>
      </c>
      <c r="E14" s="17">
        <f ca="1"/>
        <v>1.3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21"/>
      <c r="J14" s="21"/>
      <c r="K14" s="21"/>
      <c r="L14" s="21"/>
    </row>
    <row r="15" spans="2:12" x14ac:dyDescent="0.3">
      <c r="B15" s="17">
        <f ca="1"/>
        <v>4</v>
      </c>
      <c r="C15" s="17">
        <f ca="1"/>
        <v>4.5999999999999996</v>
      </c>
      <c r="D15" s="17">
        <f ca="1"/>
        <v>3.1</v>
      </c>
      <c r="E15" s="17">
        <f ca="1"/>
        <v>1.5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21"/>
      <c r="J15" s="21"/>
      <c r="K15" s="21"/>
      <c r="L15" s="21"/>
    </row>
    <row r="16" spans="2:12" x14ac:dyDescent="0.3">
      <c r="B16" s="17">
        <f ca="1"/>
        <v>5</v>
      </c>
      <c r="C16" s="17">
        <f ca="1"/>
        <v>5</v>
      </c>
      <c r="D16" s="17">
        <f ca="1"/>
        <v>3.6</v>
      </c>
      <c r="E16" s="17">
        <f ca="1"/>
        <v>1.4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21"/>
      <c r="J16" s="21"/>
      <c r="K16" s="21"/>
      <c r="L16" s="21"/>
    </row>
    <row r="17" spans="2:12" x14ac:dyDescent="0.3">
      <c r="B17" s="17">
        <f ca="1"/>
        <v>6</v>
      </c>
      <c r="C17" s="17">
        <f ca="1"/>
        <v>5.4</v>
      </c>
      <c r="D17" s="17">
        <f ca="1"/>
        <v>3.9</v>
      </c>
      <c r="E17" s="17">
        <f ca="1"/>
        <v>1.7</v>
      </c>
      <c r="F17" s="17">
        <f ca="1"/>
        <v>0.4</v>
      </c>
      <c r="G17" s="17" t="str">
        <f ca="1"/>
        <v>setosa</v>
      </c>
      <c r="H17" s="17">
        <f t="shared" ca="1" si="0"/>
        <v>0</v>
      </c>
      <c r="I17" s="21"/>
      <c r="J17" s="21"/>
      <c r="K17" s="21"/>
      <c r="L17" s="21"/>
    </row>
    <row r="18" spans="2:12" x14ac:dyDescent="0.3">
      <c r="B18" s="17">
        <f ca="1"/>
        <v>7</v>
      </c>
      <c r="C18" s="17">
        <f ca="1"/>
        <v>4.5999999999999996</v>
      </c>
      <c r="D18" s="17">
        <f ca="1"/>
        <v>3.4</v>
      </c>
      <c r="E18" s="17">
        <f ca="1"/>
        <v>1.4</v>
      </c>
      <c r="F18" s="17">
        <f ca="1"/>
        <v>0.3</v>
      </c>
      <c r="G18" s="17" t="str">
        <f ca="1"/>
        <v>setosa</v>
      </c>
      <c r="H18" s="17">
        <f t="shared" ca="1" si="0"/>
        <v>0</v>
      </c>
      <c r="I18" s="21"/>
      <c r="J18" s="21"/>
      <c r="K18" s="21"/>
      <c r="L18" s="21"/>
    </row>
    <row r="19" spans="2:12" x14ac:dyDescent="0.3">
      <c r="B19" s="17">
        <f ca="1"/>
        <v>8</v>
      </c>
      <c r="C19" s="17">
        <f ca="1"/>
        <v>5</v>
      </c>
      <c r="D19" s="17">
        <f ca="1"/>
        <v>3.4</v>
      </c>
      <c r="E19" s="17">
        <f ca="1"/>
        <v>1.5</v>
      </c>
      <c r="F19" s="17">
        <f ca="1"/>
        <v>0.2</v>
      </c>
      <c r="G19" s="17" t="str">
        <f ca="1"/>
        <v>setosa</v>
      </c>
      <c r="H19" s="17">
        <f t="shared" ca="1" si="0"/>
        <v>0</v>
      </c>
      <c r="I19" s="21"/>
      <c r="J19" s="21"/>
      <c r="K19" s="21"/>
      <c r="L19" s="21"/>
    </row>
    <row r="20" spans="2:12" x14ac:dyDescent="0.3">
      <c r="B20" s="17">
        <f ca="1"/>
        <v>9</v>
      </c>
      <c r="C20" s="17">
        <f ca="1"/>
        <v>4.4000000000000004</v>
      </c>
      <c r="D20" s="17">
        <f ca="1"/>
        <v>2.9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21"/>
      <c r="J20" s="21"/>
      <c r="K20" s="21"/>
      <c r="L20" s="21"/>
    </row>
    <row r="21" spans="2:12" x14ac:dyDescent="0.3">
      <c r="B21" s="17">
        <f ca="1"/>
        <v>10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0.1</v>
      </c>
      <c r="G21" s="17" t="str">
        <f ca="1"/>
        <v>setosa</v>
      </c>
      <c r="H21" s="17">
        <f t="shared" ca="1" si="0"/>
        <v>0</v>
      </c>
      <c r="I21" s="21"/>
      <c r="J21" s="21"/>
      <c r="K21" s="21"/>
      <c r="L21" s="21"/>
    </row>
    <row r="22" spans="2:12" x14ac:dyDescent="0.3">
      <c r="B22" s="17">
        <f ca="1"/>
        <v>11</v>
      </c>
      <c r="C22" s="17">
        <f ca="1"/>
        <v>5.4</v>
      </c>
      <c r="D22" s="17">
        <f ca="1"/>
        <v>3.7</v>
      </c>
      <c r="E22" s="17">
        <f ca="1"/>
        <v>1.5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21"/>
      <c r="J22" s="21"/>
      <c r="K22" s="21"/>
      <c r="L22" s="21"/>
    </row>
    <row r="23" spans="2:12" x14ac:dyDescent="0.3">
      <c r="B23" s="17">
        <f ca="1"/>
        <v>12</v>
      </c>
      <c r="C23" s="17">
        <f ca="1"/>
        <v>4.8</v>
      </c>
      <c r="D23" s="17">
        <f ca="1"/>
        <v>3.4</v>
      </c>
      <c r="E23" s="17">
        <f ca="1"/>
        <v>1.6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21"/>
      <c r="J23" s="21"/>
      <c r="K23" s="21"/>
      <c r="L23" s="21"/>
    </row>
    <row r="24" spans="2:12" x14ac:dyDescent="0.3">
      <c r="B24" s="17">
        <f ca="1"/>
        <v>13</v>
      </c>
      <c r="C24" s="17">
        <f ca="1"/>
        <v>4.8</v>
      </c>
      <c r="D24" s="17">
        <f ca="1"/>
        <v>3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21"/>
      <c r="J24" s="21"/>
      <c r="K24" s="21"/>
      <c r="L24" s="21"/>
    </row>
    <row r="25" spans="2:12" x14ac:dyDescent="0.3">
      <c r="B25" s="17">
        <f ca="1"/>
        <v>14</v>
      </c>
      <c r="C25" s="17">
        <f ca="1"/>
        <v>4.3</v>
      </c>
      <c r="D25" s="17">
        <f ca="1"/>
        <v>3</v>
      </c>
      <c r="E25" s="17">
        <f ca="1"/>
        <v>1.1000000000000001</v>
      </c>
      <c r="F25" s="17">
        <f ca="1"/>
        <v>0.1</v>
      </c>
      <c r="G25" s="17" t="str">
        <f ca="1"/>
        <v>setosa</v>
      </c>
      <c r="H25" s="17">
        <f t="shared" ca="1" si="0"/>
        <v>0</v>
      </c>
      <c r="I25" s="21"/>
      <c r="J25" s="21"/>
      <c r="K25" s="21"/>
      <c r="L25" s="21"/>
    </row>
    <row r="26" spans="2:12" x14ac:dyDescent="0.3">
      <c r="B26" s="17">
        <f ca="1"/>
        <v>15</v>
      </c>
      <c r="C26" s="17">
        <f ca="1"/>
        <v>5.8</v>
      </c>
      <c r="D26" s="17">
        <f ca="1"/>
        <v>4</v>
      </c>
      <c r="E26" s="17">
        <f ca="1"/>
        <v>1.2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21"/>
      <c r="J26" s="21"/>
      <c r="K26" s="21"/>
      <c r="L26" s="21"/>
    </row>
    <row r="27" spans="2:12" x14ac:dyDescent="0.3">
      <c r="B27" s="17">
        <f ca="1"/>
        <v>16</v>
      </c>
      <c r="C27" s="17">
        <f ca="1"/>
        <v>5.7</v>
      </c>
      <c r="D27" s="17">
        <f ca="1"/>
        <v>4.4000000000000004</v>
      </c>
      <c r="E27" s="17">
        <f ca="1"/>
        <v>1.5</v>
      </c>
      <c r="F27" s="17">
        <f ca="1"/>
        <v>0.4</v>
      </c>
      <c r="G27" s="17" t="str">
        <f ca="1"/>
        <v>setosa</v>
      </c>
      <c r="H27" s="17">
        <f t="shared" ca="1" si="0"/>
        <v>0</v>
      </c>
      <c r="I27" s="21"/>
      <c r="J27" s="21"/>
      <c r="K27" s="21"/>
      <c r="L27" s="21"/>
    </row>
    <row r="28" spans="2:12" x14ac:dyDescent="0.3">
      <c r="B28" s="17">
        <f ca="1"/>
        <v>17</v>
      </c>
      <c r="C28" s="17">
        <f ca="1"/>
        <v>5.4</v>
      </c>
      <c r="D28" s="17">
        <f ca="1"/>
        <v>3.9</v>
      </c>
      <c r="E28" s="17">
        <f ca="1"/>
        <v>1.3</v>
      </c>
      <c r="F28" s="17">
        <f ca="1"/>
        <v>0.4</v>
      </c>
      <c r="G28" s="17" t="str">
        <f ca="1"/>
        <v>setosa</v>
      </c>
      <c r="H28" s="17">
        <f t="shared" ca="1" si="0"/>
        <v>0</v>
      </c>
      <c r="I28" s="21"/>
      <c r="J28" s="21"/>
      <c r="K28" s="21"/>
      <c r="L28" s="21"/>
    </row>
    <row r="29" spans="2:12" x14ac:dyDescent="0.3">
      <c r="B29" s="17">
        <f ca="1"/>
        <v>18</v>
      </c>
      <c r="C29" s="17">
        <f ca="1"/>
        <v>5.0999999999999996</v>
      </c>
      <c r="D29" s="17">
        <f ca="1"/>
        <v>3.5</v>
      </c>
      <c r="E29" s="17">
        <f ca="1"/>
        <v>1.4</v>
      </c>
      <c r="F29" s="17">
        <f ca="1"/>
        <v>0.3</v>
      </c>
      <c r="G29" s="17" t="str">
        <f ca="1"/>
        <v>setosa</v>
      </c>
      <c r="H29" s="17">
        <f t="shared" ca="1" si="0"/>
        <v>0</v>
      </c>
      <c r="I29" s="21"/>
      <c r="J29" s="21"/>
      <c r="K29" s="21"/>
      <c r="L29" s="21"/>
    </row>
    <row r="30" spans="2:12" x14ac:dyDescent="0.3">
      <c r="B30" s="17">
        <f ca="1"/>
        <v>19</v>
      </c>
      <c r="C30" s="17">
        <f ca="1"/>
        <v>5.7</v>
      </c>
      <c r="D30" s="17">
        <f ca="1"/>
        <v>3.8</v>
      </c>
      <c r="E30" s="17">
        <f ca="1"/>
        <v>1.7</v>
      </c>
      <c r="F30" s="17">
        <f ca="1"/>
        <v>0.3</v>
      </c>
      <c r="G30" s="17" t="str">
        <f ca="1"/>
        <v>setosa</v>
      </c>
      <c r="H30" s="17">
        <f t="shared" ca="1" si="0"/>
        <v>0</v>
      </c>
      <c r="I30" s="21"/>
      <c r="J30" s="21"/>
      <c r="K30" s="21"/>
      <c r="L30" s="21"/>
    </row>
    <row r="31" spans="2:12" x14ac:dyDescent="0.3">
      <c r="B31" s="17">
        <f ca="1"/>
        <v>20</v>
      </c>
      <c r="C31" s="17">
        <f ca="1"/>
        <v>5.0999999999999996</v>
      </c>
      <c r="D31" s="17">
        <f ca="1"/>
        <v>3.8</v>
      </c>
      <c r="E31" s="17">
        <f ca="1"/>
        <v>1.5</v>
      </c>
      <c r="F31" s="17">
        <f ca="1"/>
        <v>0.3</v>
      </c>
      <c r="G31" s="17" t="str">
        <f ca="1"/>
        <v>setosa</v>
      </c>
      <c r="H31" s="17">
        <f t="shared" ca="1" si="0"/>
        <v>0</v>
      </c>
      <c r="I31" s="21"/>
      <c r="J31" s="21"/>
      <c r="K31" s="21"/>
      <c r="L31" s="21"/>
    </row>
    <row r="32" spans="2:12" x14ac:dyDescent="0.3">
      <c r="B32" s="17">
        <f ca="1"/>
        <v>21</v>
      </c>
      <c r="C32" s="17">
        <f ca="1"/>
        <v>5.4</v>
      </c>
      <c r="D32" s="17">
        <f ca="1"/>
        <v>3.4</v>
      </c>
      <c r="E32" s="17">
        <f ca="1"/>
        <v>1.7</v>
      </c>
      <c r="F32" s="17">
        <f ca="1"/>
        <v>0.2</v>
      </c>
      <c r="G32" s="17" t="str">
        <f ca="1"/>
        <v>setosa</v>
      </c>
      <c r="H32" s="17">
        <f t="shared" ca="1" si="0"/>
        <v>0</v>
      </c>
      <c r="I32" s="21"/>
      <c r="J32" s="21"/>
      <c r="K32" s="21"/>
      <c r="L32" s="21"/>
    </row>
    <row r="33" spans="2:12" x14ac:dyDescent="0.3">
      <c r="B33" s="17">
        <f ca="1"/>
        <v>22</v>
      </c>
      <c r="C33" s="17">
        <f ca="1"/>
        <v>5.0999999999999996</v>
      </c>
      <c r="D33" s="17">
        <f ca="1"/>
        <v>3.7</v>
      </c>
      <c r="E33" s="17">
        <f ca="1"/>
        <v>1.5</v>
      </c>
      <c r="F33" s="17">
        <f ca="1"/>
        <v>0.4</v>
      </c>
      <c r="G33" s="17" t="str">
        <f ca="1"/>
        <v>setosa</v>
      </c>
      <c r="H33" s="17">
        <f t="shared" ca="1" si="0"/>
        <v>0</v>
      </c>
      <c r="I33" s="21"/>
      <c r="J33" s="21"/>
      <c r="K33" s="21"/>
      <c r="L33" s="21"/>
    </row>
    <row r="34" spans="2:12" x14ac:dyDescent="0.3">
      <c r="B34" s="17">
        <f ca="1"/>
        <v>23</v>
      </c>
      <c r="C34" s="17">
        <f ca="1"/>
        <v>4.5999999999999996</v>
      </c>
      <c r="D34" s="17">
        <f ca="1"/>
        <v>3.6</v>
      </c>
      <c r="E34" s="17">
        <f ca="1"/>
        <v>1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21"/>
      <c r="J34" s="21"/>
      <c r="K34" s="21"/>
      <c r="L34" s="21"/>
    </row>
    <row r="35" spans="2:12" x14ac:dyDescent="0.3">
      <c r="B35" s="17">
        <f ca="1"/>
        <v>24</v>
      </c>
      <c r="C35" s="17">
        <f ca="1"/>
        <v>5.0999999999999996</v>
      </c>
      <c r="D35" s="17">
        <f ca="1"/>
        <v>3.3</v>
      </c>
      <c r="E35" s="17">
        <f ca="1"/>
        <v>1.7</v>
      </c>
      <c r="F35" s="17">
        <f ca="1"/>
        <v>0.5</v>
      </c>
      <c r="G35" s="17" t="str">
        <f ca="1"/>
        <v>setosa</v>
      </c>
      <c r="H35" s="17">
        <f t="shared" ca="1" si="0"/>
        <v>0</v>
      </c>
      <c r="I35" s="21"/>
      <c r="J35" s="21"/>
      <c r="K35" s="21"/>
      <c r="L35" s="21"/>
    </row>
    <row r="36" spans="2:12" x14ac:dyDescent="0.3">
      <c r="B36" s="17">
        <f ca="1"/>
        <v>25</v>
      </c>
      <c r="C36" s="17">
        <f ca="1"/>
        <v>4.8</v>
      </c>
      <c r="D36" s="17">
        <f ca="1"/>
        <v>3.4</v>
      </c>
      <c r="E36" s="17">
        <f ca="1"/>
        <v>1.9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21"/>
      <c r="J36" s="21"/>
      <c r="K36" s="21"/>
      <c r="L36" s="21"/>
    </row>
    <row r="37" spans="2:12" x14ac:dyDescent="0.3">
      <c r="B37" s="17" cm="1">
        <f t="array" aca="1" ref="B37:G61" ca="1">OFFSET(Iris_Data!A76,1,0,25,6)</f>
        <v>76</v>
      </c>
      <c r="C37" s="17">
        <f ca="1"/>
        <v>6.6</v>
      </c>
      <c r="D37" s="17">
        <f ca="1"/>
        <v>3</v>
      </c>
      <c r="E37" s="17">
        <f ca="1"/>
        <v>4.4000000000000004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21"/>
      <c r="J37" s="21"/>
      <c r="K37" s="21"/>
      <c r="L37" s="21"/>
    </row>
    <row r="38" spans="2:12" x14ac:dyDescent="0.3">
      <c r="B38" s="17">
        <f ca="1"/>
        <v>77</v>
      </c>
      <c r="C38" s="17">
        <f ca="1"/>
        <v>6.8</v>
      </c>
      <c r="D38" s="17">
        <f ca="1"/>
        <v>2.8</v>
      </c>
      <c r="E38" s="17">
        <f ca="1"/>
        <v>4.8</v>
      </c>
      <c r="F38" s="17">
        <f ca="1"/>
        <v>1.4</v>
      </c>
      <c r="G38" s="17" t="str">
        <f ca="1"/>
        <v>versicolor</v>
      </c>
      <c r="H38" s="17">
        <f t="shared" ca="1" si="0"/>
        <v>1</v>
      </c>
      <c r="I38" s="21"/>
      <c r="J38" s="21"/>
      <c r="K38" s="21"/>
      <c r="L38" s="21"/>
    </row>
    <row r="39" spans="2:12" x14ac:dyDescent="0.3">
      <c r="B39" s="17">
        <f ca="1"/>
        <v>78</v>
      </c>
      <c r="C39" s="17">
        <f ca="1"/>
        <v>6.7</v>
      </c>
      <c r="D39" s="17">
        <f ca="1"/>
        <v>3</v>
      </c>
      <c r="E39" s="17">
        <f ca="1"/>
        <v>5</v>
      </c>
      <c r="F39" s="17">
        <f ca="1"/>
        <v>1.7</v>
      </c>
      <c r="G39" s="17" t="str">
        <f ca="1"/>
        <v>versicolor</v>
      </c>
      <c r="H39" s="17">
        <f t="shared" ca="1" si="0"/>
        <v>1</v>
      </c>
      <c r="I39" s="21"/>
      <c r="J39" s="21"/>
      <c r="K39" s="21"/>
      <c r="L39" s="21"/>
    </row>
    <row r="40" spans="2:12" x14ac:dyDescent="0.3">
      <c r="B40" s="17">
        <f ca="1"/>
        <v>79</v>
      </c>
      <c r="C40" s="17">
        <f ca="1"/>
        <v>6</v>
      </c>
      <c r="D40" s="17">
        <f ca="1"/>
        <v>2.9</v>
      </c>
      <c r="E40" s="17">
        <f ca="1"/>
        <v>4.5</v>
      </c>
      <c r="F40" s="17">
        <f ca="1"/>
        <v>1.5</v>
      </c>
      <c r="G40" s="17" t="str">
        <f ca="1"/>
        <v>versicolor</v>
      </c>
      <c r="H40" s="17">
        <f t="shared" ca="1" si="0"/>
        <v>1</v>
      </c>
      <c r="I40" s="21"/>
      <c r="J40" s="21"/>
      <c r="K40" s="21"/>
      <c r="L40" s="21"/>
    </row>
    <row r="41" spans="2:12" x14ac:dyDescent="0.3">
      <c r="B41" s="17">
        <f ca="1"/>
        <v>80</v>
      </c>
      <c r="C41" s="17">
        <f ca="1"/>
        <v>5.7</v>
      </c>
      <c r="D41" s="17">
        <f ca="1"/>
        <v>2.6</v>
      </c>
      <c r="E41" s="17">
        <f ca="1"/>
        <v>3.5</v>
      </c>
      <c r="F41" s="17">
        <f ca="1"/>
        <v>1</v>
      </c>
      <c r="G41" s="17" t="str">
        <f ca="1"/>
        <v>versicolor</v>
      </c>
      <c r="H41" s="17">
        <f t="shared" ca="1" si="0"/>
        <v>1</v>
      </c>
      <c r="I41" s="21"/>
      <c r="J41" s="21"/>
      <c r="K41" s="21"/>
      <c r="L41" s="21"/>
    </row>
    <row r="42" spans="2:12" x14ac:dyDescent="0.3">
      <c r="B42" s="17">
        <f ca="1"/>
        <v>81</v>
      </c>
      <c r="C42" s="17">
        <f ca="1"/>
        <v>5.5</v>
      </c>
      <c r="D42" s="17">
        <f ca="1"/>
        <v>2.4</v>
      </c>
      <c r="E42" s="17">
        <f ca="1"/>
        <v>3.8</v>
      </c>
      <c r="F42" s="17">
        <f ca="1"/>
        <v>1.1000000000000001</v>
      </c>
      <c r="G42" s="17" t="str">
        <f ca="1"/>
        <v>versicolor</v>
      </c>
      <c r="H42" s="17">
        <f t="shared" ca="1" si="0"/>
        <v>1</v>
      </c>
      <c r="I42" s="21"/>
      <c r="J42" s="21"/>
      <c r="K42" s="21"/>
      <c r="L42" s="21"/>
    </row>
    <row r="43" spans="2:12" x14ac:dyDescent="0.3">
      <c r="B43" s="17">
        <f ca="1"/>
        <v>82</v>
      </c>
      <c r="C43" s="17">
        <f ca="1"/>
        <v>5.5</v>
      </c>
      <c r="D43" s="17">
        <f ca="1"/>
        <v>2.4</v>
      </c>
      <c r="E43" s="17">
        <f ca="1"/>
        <v>3.7</v>
      </c>
      <c r="F43" s="17">
        <f ca="1"/>
        <v>1</v>
      </c>
      <c r="G43" s="17" t="str">
        <f ca="1"/>
        <v>versicolor</v>
      </c>
      <c r="H43" s="17">
        <f t="shared" ca="1" si="0"/>
        <v>1</v>
      </c>
      <c r="I43" s="21"/>
      <c r="J43" s="21"/>
      <c r="K43" s="21"/>
      <c r="L43" s="21"/>
    </row>
    <row r="44" spans="2:12" x14ac:dyDescent="0.3">
      <c r="B44" s="17">
        <f ca="1"/>
        <v>83</v>
      </c>
      <c r="C44" s="17">
        <f ca="1"/>
        <v>5.8</v>
      </c>
      <c r="D44" s="17">
        <f ca="1"/>
        <v>2.7</v>
      </c>
      <c r="E44" s="17">
        <f ca="1"/>
        <v>3.9</v>
      </c>
      <c r="F44" s="17">
        <f ca="1"/>
        <v>1.2</v>
      </c>
      <c r="G44" s="17" t="str">
        <f ca="1"/>
        <v>versicolor</v>
      </c>
      <c r="H44" s="17">
        <f t="shared" ca="1" si="0"/>
        <v>1</v>
      </c>
      <c r="I44" s="21"/>
      <c r="J44" s="21"/>
      <c r="K44" s="21"/>
      <c r="L44" s="21"/>
    </row>
    <row r="45" spans="2:12" x14ac:dyDescent="0.3">
      <c r="B45" s="17">
        <f ca="1"/>
        <v>84</v>
      </c>
      <c r="C45" s="17">
        <f ca="1"/>
        <v>6</v>
      </c>
      <c r="D45" s="17">
        <f ca="1"/>
        <v>2.7</v>
      </c>
      <c r="E45" s="17">
        <f ca="1"/>
        <v>5.0999999999999996</v>
      </c>
      <c r="F45" s="17">
        <f ca="1"/>
        <v>1.6</v>
      </c>
      <c r="G45" s="17" t="str">
        <f ca="1"/>
        <v>versicolor</v>
      </c>
      <c r="H45" s="17">
        <f t="shared" ca="1" si="0"/>
        <v>1</v>
      </c>
      <c r="I45" s="21"/>
      <c r="J45" s="21"/>
      <c r="K45" s="21"/>
      <c r="L45" s="21"/>
    </row>
    <row r="46" spans="2:12" x14ac:dyDescent="0.3">
      <c r="B46" s="17">
        <f ca="1"/>
        <v>85</v>
      </c>
      <c r="C46" s="17">
        <f ca="1"/>
        <v>5.4</v>
      </c>
      <c r="D46" s="17">
        <f ca="1"/>
        <v>3</v>
      </c>
      <c r="E46" s="17">
        <f ca="1"/>
        <v>4.5</v>
      </c>
      <c r="F46" s="17">
        <f ca="1"/>
        <v>1.5</v>
      </c>
      <c r="G46" s="17" t="str">
        <f ca="1"/>
        <v>versicolor</v>
      </c>
      <c r="H46" s="17">
        <f t="shared" ca="1" si="0"/>
        <v>1</v>
      </c>
      <c r="I46" s="21"/>
      <c r="J46" s="21"/>
      <c r="K46" s="21"/>
      <c r="L46" s="21"/>
    </row>
    <row r="47" spans="2:12" x14ac:dyDescent="0.3">
      <c r="B47" s="17">
        <f ca="1"/>
        <v>86</v>
      </c>
      <c r="C47" s="17">
        <f ca="1"/>
        <v>6</v>
      </c>
      <c r="D47" s="17">
        <f ca="1"/>
        <v>3.4</v>
      </c>
      <c r="E47" s="17">
        <f ca="1"/>
        <v>4.5</v>
      </c>
      <c r="F47" s="17">
        <f ca="1"/>
        <v>1.6</v>
      </c>
      <c r="G47" s="17" t="str">
        <f ca="1"/>
        <v>versicolor</v>
      </c>
      <c r="H47" s="17">
        <f t="shared" ca="1" si="0"/>
        <v>1</v>
      </c>
      <c r="I47" s="21"/>
      <c r="J47" s="21"/>
      <c r="K47" s="21"/>
      <c r="L47" s="21"/>
    </row>
    <row r="48" spans="2:12" x14ac:dyDescent="0.3">
      <c r="B48" s="17">
        <f ca="1"/>
        <v>87</v>
      </c>
      <c r="C48" s="17">
        <f ca="1"/>
        <v>6.7</v>
      </c>
      <c r="D48" s="17">
        <f ca="1"/>
        <v>3.1</v>
      </c>
      <c r="E48" s="17">
        <f ca="1"/>
        <v>4.7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21"/>
      <c r="J48" s="21"/>
      <c r="K48" s="21"/>
      <c r="L48" s="21"/>
    </row>
    <row r="49" spans="2:12" x14ac:dyDescent="0.3">
      <c r="B49" s="17">
        <f ca="1"/>
        <v>88</v>
      </c>
      <c r="C49" s="17">
        <f ca="1"/>
        <v>6.3</v>
      </c>
      <c r="D49" s="17">
        <f ca="1"/>
        <v>2.2999999999999998</v>
      </c>
      <c r="E49" s="17">
        <f ca="1"/>
        <v>4.4000000000000004</v>
      </c>
      <c r="F49" s="17">
        <f ca="1"/>
        <v>1.3</v>
      </c>
      <c r="G49" s="17" t="str">
        <f ca="1"/>
        <v>versicolor</v>
      </c>
      <c r="H49" s="17">
        <f t="shared" ca="1" si="0"/>
        <v>1</v>
      </c>
      <c r="I49" s="21"/>
      <c r="J49" s="21"/>
      <c r="K49" s="21"/>
      <c r="L49" s="21"/>
    </row>
    <row r="50" spans="2:12" x14ac:dyDescent="0.3">
      <c r="B50" s="17">
        <f ca="1"/>
        <v>89</v>
      </c>
      <c r="C50" s="17">
        <f ca="1"/>
        <v>5.6</v>
      </c>
      <c r="D50" s="17">
        <f ca="1"/>
        <v>3</v>
      </c>
      <c r="E50" s="17">
        <f ca="1"/>
        <v>4.0999999999999996</v>
      </c>
      <c r="F50" s="17">
        <f ca="1"/>
        <v>1.3</v>
      </c>
      <c r="G50" s="17" t="str">
        <f ca="1"/>
        <v>versicolor</v>
      </c>
      <c r="H50" s="17">
        <f t="shared" ca="1" si="0"/>
        <v>1</v>
      </c>
      <c r="I50" s="21"/>
      <c r="J50" s="21"/>
      <c r="K50" s="21"/>
      <c r="L50" s="21"/>
    </row>
    <row r="51" spans="2:12" x14ac:dyDescent="0.3">
      <c r="B51" s="17">
        <f ca="1"/>
        <v>90</v>
      </c>
      <c r="C51" s="17">
        <f ca="1"/>
        <v>5.5</v>
      </c>
      <c r="D51" s="17">
        <f ca="1"/>
        <v>2.5</v>
      </c>
      <c r="E51" s="17">
        <f ca="1"/>
        <v>4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21"/>
      <c r="J51" s="21"/>
      <c r="K51" s="21"/>
      <c r="L51" s="21"/>
    </row>
    <row r="52" spans="2:12" x14ac:dyDescent="0.3">
      <c r="B52" s="17">
        <f ca="1"/>
        <v>91</v>
      </c>
      <c r="C52" s="17">
        <f ca="1"/>
        <v>5.5</v>
      </c>
      <c r="D52" s="17">
        <f ca="1"/>
        <v>2.6</v>
      </c>
      <c r="E52" s="17">
        <f ca="1"/>
        <v>4.4000000000000004</v>
      </c>
      <c r="F52" s="17">
        <f ca="1"/>
        <v>1.2</v>
      </c>
      <c r="G52" s="17" t="str">
        <f ca="1"/>
        <v>versicolor</v>
      </c>
      <c r="H52" s="17">
        <f t="shared" ca="1" si="0"/>
        <v>1</v>
      </c>
      <c r="I52" s="21"/>
      <c r="J52" s="21"/>
      <c r="K52" s="21"/>
      <c r="L52" s="21"/>
    </row>
    <row r="53" spans="2:12" x14ac:dyDescent="0.3">
      <c r="B53" s="17">
        <f ca="1"/>
        <v>92</v>
      </c>
      <c r="C53" s="17">
        <f ca="1"/>
        <v>6.1</v>
      </c>
      <c r="D53" s="17">
        <f ca="1"/>
        <v>3</v>
      </c>
      <c r="E53" s="17">
        <f ca="1"/>
        <v>4.5999999999999996</v>
      </c>
      <c r="F53" s="17">
        <f ca="1"/>
        <v>1.4</v>
      </c>
      <c r="G53" s="17" t="str">
        <f ca="1"/>
        <v>versicolor</v>
      </c>
      <c r="H53" s="17">
        <f t="shared" ca="1" si="0"/>
        <v>1</v>
      </c>
      <c r="I53" s="21"/>
      <c r="J53" s="21"/>
      <c r="K53" s="21"/>
      <c r="L53" s="21"/>
    </row>
    <row r="54" spans="2:12" x14ac:dyDescent="0.3">
      <c r="B54" s="17">
        <f ca="1"/>
        <v>93</v>
      </c>
      <c r="C54" s="17">
        <f ca="1"/>
        <v>5.8</v>
      </c>
      <c r="D54" s="17">
        <f ca="1"/>
        <v>2.6</v>
      </c>
      <c r="E54" s="17">
        <f ca="1"/>
        <v>4</v>
      </c>
      <c r="F54" s="17">
        <f ca="1"/>
        <v>1.2</v>
      </c>
      <c r="G54" s="17" t="str">
        <f ca="1"/>
        <v>versicolor</v>
      </c>
      <c r="H54" s="17">
        <f t="shared" ca="1" si="0"/>
        <v>1</v>
      </c>
      <c r="I54" s="21"/>
      <c r="J54" s="21"/>
      <c r="K54" s="21"/>
      <c r="L54" s="21"/>
    </row>
    <row r="55" spans="2:12" x14ac:dyDescent="0.3">
      <c r="B55" s="17">
        <f ca="1"/>
        <v>94</v>
      </c>
      <c r="C55" s="17">
        <f ca="1"/>
        <v>5</v>
      </c>
      <c r="D55" s="17">
        <f ca="1"/>
        <v>2.2999999999999998</v>
      </c>
      <c r="E55" s="17">
        <f ca="1"/>
        <v>3.3</v>
      </c>
      <c r="F55" s="17">
        <f ca="1"/>
        <v>1</v>
      </c>
      <c r="G55" s="17" t="str">
        <f ca="1"/>
        <v>versicolor</v>
      </c>
      <c r="H55" s="17">
        <f t="shared" ca="1" si="0"/>
        <v>1</v>
      </c>
      <c r="I55" s="21"/>
      <c r="J55" s="21"/>
      <c r="K55" s="21"/>
      <c r="L55" s="21"/>
    </row>
    <row r="56" spans="2:12" x14ac:dyDescent="0.3">
      <c r="B56" s="17">
        <f ca="1"/>
        <v>95</v>
      </c>
      <c r="C56" s="17">
        <f ca="1"/>
        <v>5.6</v>
      </c>
      <c r="D56" s="17">
        <f ca="1"/>
        <v>2.7</v>
      </c>
      <c r="E56" s="17">
        <f ca="1"/>
        <v>4.2</v>
      </c>
      <c r="F56" s="17">
        <f ca="1"/>
        <v>1.3</v>
      </c>
      <c r="G56" s="17" t="str">
        <f ca="1"/>
        <v>versicolor</v>
      </c>
      <c r="H56" s="17">
        <f t="shared" ca="1" si="0"/>
        <v>1</v>
      </c>
      <c r="I56" s="21"/>
      <c r="J56" s="21"/>
      <c r="K56" s="21"/>
      <c r="L56" s="21"/>
    </row>
    <row r="57" spans="2:12" x14ac:dyDescent="0.3">
      <c r="B57" s="17">
        <f ca="1"/>
        <v>96</v>
      </c>
      <c r="C57" s="17">
        <f ca="1"/>
        <v>5.7</v>
      </c>
      <c r="D57" s="17">
        <f ca="1"/>
        <v>3</v>
      </c>
      <c r="E57" s="17">
        <f ca="1"/>
        <v>4.2</v>
      </c>
      <c r="F57" s="17">
        <f ca="1"/>
        <v>1.2</v>
      </c>
      <c r="G57" s="17" t="str">
        <f ca="1"/>
        <v>versicolor</v>
      </c>
      <c r="H57" s="17">
        <f t="shared" ca="1" si="0"/>
        <v>1</v>
      </c>
      <c r="I57" s="21"/>
      <c r="J57" s="21"/>
      <c r="K57" s="21"/>
      <c r="L57" s="21"/>
    </row>
    <row r="58" spans="2:12" x14ac:dyDescent="0.3">
      <c r="B58" s="17">
        <f ca="1"/>
        <v>97</v>
      </c>
      <c r="C58" s="17">
        <f ca="1"/>
        <v>5.7</v>
      </c>
      <c r="D58" s="17">
        <f ca="1"/>
        <v>2.9</v>
      </c>
      <c r="E58" s="17">
        <f ca="1"/>
        <v>4.2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21"/>
      <c r="J58" s="21"/>
      <c r="K58" s="21"/>
      <c r="L58" s="21"/>
    </row>
    <row r="59" spans="2:12" x14ac:dyDescent="0.3">
      <c r="B59" s="17">
        <f ca="1"/>
        <v>98</v>
      </c>
      <c r="C59" s="17">
        <f ca="1"/>
        <v>6.2</v>
      </c>
      <c r="D59" s="17">
        <f ca="1"/>
        <v>2.9</v>
      </c>
      <c r="E59" s="17">
        <f ca="1"/>
        <v>4.3</v>
      </c>
      <c r="F59" s="17">
        <f ca="1"/>
        <v>1.3</v>
      </c>
      <c r="G59" s="17" t="str">
        <f ca="1"/>
        <v>versicolor</v>
      </c>
      <c r="H59" s="17">
        <f t="shared" ca="1" si="0"/>
        <v>1</v>
      </c>
      <c r="I59" s="21"/>
      <c r="J59" s="21"/>
      <c r="K59" s="21"/>
      <c r="L59" s="21"/>
    </row>
    <row r="60" spans="2:12" x14ac:dyDescent="0.3">
      <c r="B60" s="17">
        <f ca="1"/>
        <v>99</v>
      </c>
      <c r="C60" s="17">
        <f ca="1"/>
        <v>5.0999999999999996</v>
      </c>
      <c r="D60" s="17">
        <f ca="1"/>
        <v>2.5</v>
      </c>
      <c r="E60" s="17">
        <f ca="1"/>
        <v>3</v>
      </c>
      <c r="F60" s="17">
        <f ca="1"/>
        <v>1.1000000000000001</v>
      </c>
      <c r="G60" s="17" t="str">
        <f ca="1"/>
        <v>versicolor</v>
      </c>
      <c r="H60" s="17">
        <f t="shared" ca="1" si="0"/>
        <v>1</v>
      </c>
      <c r="I60" s="21"/>
      <c r="J60" s="21"/>
      <c r="K60" s="21"/>
      <c r="L60" s="21"/>
    </row>
    <row r="61" spans="2:12" x14ac:dyDescent="0.3">
      <c r="B61" s="17">
        <f ca="1"/>
        <v>100</v>
      </c>
      <c r="C61" s="17">
        <f ca="1"/>
        <v>5.7</v>
      </c>
      <c r="D61" s="17">
        <f ca="1"/>
        <v>2.8</v>
      </c>
      <c r="E61" s="17">
        <f ca="1"/>
        <v>4.0999999999999996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21"/>
      <c r="J61" s="21"/>
      <c r="K61" s="21"/>
      <c r="L61" s="2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57</v>
      </c>
      <c r="K3" s="17"/>
    </row>
    <row r="4" spans="2:12" x14ac:dyDescent="0.3">
      <c r="G4" s="17" t="s">
        <v>58</v>
      </c>
      <c r="H4" s="17" cm="1">
        <f t="array" ref="H4:H8">Iris_Fit!H4:H8</f>
        <v>0</v>
      </c>
    </row>
    <row r="5" spans="2:12" x14ac:dyDescent="0.3">
      <c r="G5" s="17" t="s">
        <v>44</v>
      </c>
      <c r="H5" s="17">
        <v>0</v>
      </c>
    </row>
    <row r="6" spans="2:12" x14ac:dyDescent="0.3">
      <c r="G6" s="17" t="s">
        <v>45</v>
      </c>
      <c r="H6" s="17">
        <v>0</v>
      </c>
    </row>
    <row r="7" spans="2:12" x14ac:dyDescent="0.3">
      <c r="G7" s="17" t="s">
        <v>59</v>
      </c>
      <c r="H7" s="17">
        <v>0</v>
      </c>
    </row>
    <row r="8" spans="2:12" x14ac:dyDescent="0.3">
      <c r="G8" s="17" t="s">
        <v>60</v>
      </c>
      <c r="H8" s="17">
        <v>1.5482559354478314</v>
      </c>
    </row>
    <row r="11" spans="2:12" s="16" customFormat="1" x14ac:dyDescent="0.3">
      <c r="B11" s="16" t="s">
        <v>46</v>
      </c>
      <c r="C11" s="16" t="s">
        <v>47</v>
      </c>
      <c r="D11" s="16" t="s">
        <v>15</v>
      </c>
      <c r="E11" s="16" t="s">
        <v>17</v>
      </c>
      <c r="F11" s="16" t="s">
        <v>61</v>
      </c>
      <c r="G11" s="16" t="s">
        <v>62</v>
      </c>
      <c r="H11" s="16" t="s">
        <v>16</v>
      </c>
      <c r="I11" s="16" t="s">
        <v>63</v>
      </c>
      <c r="J11" s="16" t="s">
        <v>64</v>
      </c>
      <c r="K11" s="16" t="s">
        <v>65</v>
      </c>
      <c r="L11" s="16" t="s">
        <v>14</v>
      </c>
    </row>
    <row r="12" spans="2:12" x14ac:dyDescent="0.3">
      <c r="B12" s="17" cm="1">
        <f t="array" aca="1" ref="B12:G61" ca="1">OFFSET(Iris_Data!A26,1,0,50,6)</f>
        <v>26</v>
      </c>
      <c r="C12" s="17">
        <f ca="1"/>
        <v>5</v>
      </c>
      <c r="D12" s="17">
        <f ca="1"/>
        <v>3</v>
      </c>
      <c r="E12" s="17">
        <f ca="1"/>
        <v>1.6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17">
        <f t="array" aca="1" ref="I12:I61" ca="1">H4+MMULT(C12:F61,H5:H8)</f>
        <v>0.30965118708956629</v>
      </c>
      <c r="J12" s="17">
        <f t="shared" ref="J12:J61" ca="1" si="1">1/(1+EXP(-I12))</f>
        <v>0.57680011757476135</v>
      </c>
      <c r="K12" s="17">
        <f t="shared" ref="K12:K61" ca="1" si="2">IF(H12,J12,1-J12)</f>
        <v>0.42319988242523865</v>
      </c>
      <c r="L12" s="17">
        <f t="shared" ref="L12:L61" ca="1" si="3">ROUND(K12,0)</f>
        <v>0</v>
      </c>
    </row>
    <row r="13" spans="2:12" x14ac:dyDescent="0.3">
      <c r="B13" s="17">
        <f ca="1"/>
        <v>27</v>
      </c>
      <c r="C13" s="17">
        <f ca="1"/>
        <v>5</v>
      </c>
      <c r="D13" s="17">
        <f ca="1"/>
        <v>3.4</v>
      </c>
      <c r="E13" s="17">
        <f ca="1"/>
        <v>1.6</v>
      </c>
      <c r="F13" s="17">
        <f ca="1"/>
        <v>0.4</v>
      </c>
      <c r="G13" s="17" t="str">
        <f ca="1"/>
        <v>setosa</v>
      </c>
      <c r="H13" s="17">
        <f t="shared" ca="1" si="0"/>
        <v>0</v>
      </c>
      <c r="I13" s="17">
        <f ca="1"/>
        <v>0.61930237417913259</v>
      </c>
      <c r="J13" s="17">
        <f t="shared" ca="1" si="1"/>
        <v>0.65005986784971603</v>
      </c>
      <c r="K13" s="17">
        <f t="shared" ca="1" si="2"/>
        <v>0.34994013215028397</v>
      </c>
      <c r="L13" s="17">
        <f t="shared" ca="1" si="3"/>
        <v>0</v>
      </c>
    </row>
    <row r="14" spans="2:12" x14ac:dyDescent="0.3">
      <c r="B14" s="17">
        <f ca="1"/>
        <v>28</v>
      </c>
      <c r="C14" s="17">
        <f ca="1"/>
        <v>5.2</v>
      </c>
      <c r="D14" s="17">
        <f ca="1"/>
        <v>3.5</v>
      </c>
      <c r="E14" s="17">
        <f ca="1"/>
        <v>1.5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17">
        <f ca="1"/>
        <v>0.30965118708956629</v>
      </c>
      <c r="J14" s="17">
        <f t="shared" ca="1" si="1"/>
        <v>0.57680011757476135</v>
      </c>
      <c r="K14" s="17">
        <f t="shared" ca="1" si="2"/>
        <v>0.42319988242523865</v>
      </c>
      <c r="L14" s="17">
        <f t="shared" ca="1" si="3"/>
        <v>0</v>
      </c>
    </row>
    <row r="15" spans="2:12" x14ac:dyDescent="0.3">
      <c r="B15" s="17">
        <f ca="1"/>
        <v>29</v>
      </c>
      <c r="C15" s="17">
        <f ca="1"/>
        <v>5.2</v>
      </c>
      <c r="D15" s="17">
        <f ca="1"/>
        <v>3.4</v>
      </c>
      <c r="E15" s="17">
        <f ca="1"/>
        <v>1.4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17">
        <f ca="1"/>
        <v>0.30965118708956629</v>
      </c>
      <c r="J15" s="17">
        <f t="shared" ca="1" si="1"/>
        <v>0.57680011757476135</v>
      </c>
      <c r="K15" s="17">
        <f t="shared" ca="1" si="2"/>
        <v>0.42319988242523865</v>
      </c>
      <c r="L15" s="17">
        <f t="shared" ca="1" si="3"/>
        <v>0</v>
      </c>
    </row>
    <row r="16" spans="2:12" x14ac:dyDescent="0.3">
      <c r="B16" s="17">
        <f ca="1"/>
        <v>30</v>
      </c>
      <c r="C16" s="17">
        <f ca="1"/>
        <v>4.7</v>
      </c>
      <c r="D16" s="17">
        <f ca="1"/>
        <v>3.2</v>
      </c>
      <c r="E16" s="17">
        <f ca="1"/>
        <v>1.6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17">
        <f ca="1"/>
        <v>0.30965118708956629</v>
      </c>
      <c r="J16" s="17">
        <f t="shared" ca="1" si="1"/>
        <v>0.57680011757476135</v>
      </c>
      <c r="K16" s="17">
        <f t="shared" ca="1" si="2"/>
        <v>0.42319988242523865</v>
      </c>
      <c r="L16" s="17">
        <f t="shared" ca="1" si="3"/>
        <v>0</v>
      </c>
    </row>
    <row r="17" spans="2:12" x14ac:dyDescent="0.3">
      <c r="B17" s="17">
        <f ca="1"/>
        <v>31</v>
      </c>
      <c r="C17" s="17">
        <f ca="1"/>
        <v>4.8</v>
      </c>
      <c r="D17" s="17">
        <f ca="1"/>
        <v>3.1</v>
      </c>
      <c r="E17" s="17">
        <f ca="1"/>
        <v>1.6</v>
      </c>
      <c r="F17" s="17">
        <f ca="1"/>
        <v>0.2</v>
      </c>
      <c r="G17" s="17" t="str">
        <f ca="1"/>
        <v>setosa</v>
      </c>
      <c r="H17" s="17">
        <f t="shared" ca="1" si="0"/>
        <v>0</v>
      </c>
      <c r="I17" s="17">
        <f ca="1"/>
        <v>0.30965118708956629</v>
      </c>
      <c r="J17" s="17">
        <f t="shared" ca="1" si="1"/>
        <v>0.57680011757476135</v>
      </c>
      <c r="K17" s="17">
        <f t="shared" ca="1" si="2"/>
        <v>0.42319988242523865</v>
      </c>
      <c r="L17" s="17">
        <f t="shared" ca="1" si="3"/>
        <v>0</v>
      </c>
    </row>
    <row r="18" spans="2:12" x14ac:dyDescent="0.3">
      <c r="B18" s="17">
        <f ca="1"/>
        <v>32</v>
      </c>
      <c r="C18" s="17">
        <f ca="1"/>
        <v>5.4</v>
      </c>
      <c r="D18" s="17">
        <f ca="1"/>
        <v>3.4</v>
      </c>
      <c r="E18" s="17">
        <f ca="1"/>
        <v>1.5</v>
      </c>
      <c r="F18" s="17">
        <f ca="1"/>
        <v>0.4</v>
      </c>
      <c r="G18" s="17" t="str">
        <f ca="1"/>
        <v>setosa</v>
      </c>
      <c r="H18" s="17">
        <f t="shared" ca="1" si="0"/>
        <v>0</v>
      </c>
      <c r="I18" s="17">
        <f ca="1"/>
        <v>0.61930237417913259</v>
      </c>
      <c r="J18" s="17">
        <f t="shared" ca="1" si="1"/>
        <v>0.65005986784971603</v>
      </c>
      <c r="K18" s="17">
        <f t="shared" ca="1" si="2"/>
        <v>0.34994013215028397</v>
      </c>
      <c r="L18" s="17">
        <f t="shared" ca="1" si="3"/>
        <v>0</v>
      </c>
    </row>
    <row r="19" spans="2:12" x14ac:dyDescent="0.3">
      <c r="B19" s="17">
        <f ca="1"/>
        <v>33</v>
      </c>
      <c r="C19" s="17">
        <f ca="1"/>
        <v>5.2</v>
      </c>
      <c r="D19" s="17">
        <f ca="1"/>
        <v>4.0999999999999996</v>
      </c>
      <c r="E19" s="17">
        <f ca="1"/>
        <v>1.5</v>
      </c>
      <c r="F19" s="17">
        <f ca="1"/>
        <v>0.1</v>
      </c>
      <c r="G19" s="17" t="str">
        <f ca="1"/>
        <v>setosa</v>
      </c>
      <c r="H19" s="17">
        <f t="shared" ca="1" si="0"/>
        <v>0</v>
      </c>
      <c r="I19" s="17">
        <f ca="1"/>
        <v>0.15482559354478315</v>
      </c>
      <c r="J19" s="17">
        <f t="shared" ca="1" si="1"/>
        <v>0.53862926413761969</v>
      </c>
      <c r="K19" s="17">
        <f t="shared" ca="1" si="2"/>
        <v>0.46137073586238031</v>
      </c>
      <c r="L19" s="17">
        <f t="shared" ca="1" si="3"/>
        <v>0</v>
      </c>
    </row>
    <row r="20" spans="2:12" x14ac:dyDescent="0.3">
      <c r="B20" s="17">
        <f ca="1"/>
        <v>34</v>
      </c>
      <c r="C20" s="17">
        <f ca="1"/>
        <v>5.5</v>
      </c>
      <c r="D20" s="17">
        <f ca="1"/>
        <v>4.2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17">
        <f ca="1"/>
        <v>0.30965118708956629</v>
      </c>
      <c r="J20" s="17">
        <f t="shared" ca="1" si="1"/>
        <v>0.57680011757476135</v>
      </c>
      <c r="K20" s="17">
        <f t="shared" ca="1" si="2"/>
        <v>0.42319988242523865</v>
      </c>
      <c r="L20" s="17">
        <f t="shared" ca="1" si="3"/>
        <v>0</v>
      </c>
    </row>
    <row r="21" spans="2:12" x14ac:dyDescent="0.3">
      <c r="B21" s="17">
        <f ca="1"/>
        <v>35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0.2</v>
      </c>
      <c r="G21" s="17" t="str">
        <f ca="1"/>
        <v>setosa</v>
      </c>
      <c r="H21" s="17">
        <f t="shared" ca="1" si="0"/>
        <v>0</v>
      </c>
      <c r="I21" s="17">
        <f ca="1"/>
        <v>0.30965118708956629</v>
      </c>
      <c r="J21" s="17">
        <f t="shared" ca="1" si="1"/>
        <v>0.57680011757476135</v>
      </c>
      <c r="K21" s="17">
        <f t="shared" ca="1" si="2"/>
        <v>0.42319988242523865</v>
      </c>
      <c r="L21" s="17">
        <f t="shared" ca="1" si="3"/>
        <v>0</v>
      </c>
    </row>
    <row r="22" spans="2:12" x14ac:dyDescent="0.3">
      <c r="B22" s="17">
        <f ca="1"/>
        <v>36</v>
      </c>
      <c r="C22" s="17">
        <f ca="1"/>
        <v>5</v>
      </c>
      <c r="D22" s="17">
        <f ca="1"/>
        <v>3.2</v>
      </c>
      <c r="E22" s="17">
        <f ca="1"/>
        <v>1.2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17">
        <f ca="1"/>
        <v>0.30965118708956629</v>
      </c>
      <c r="J22" s="17">
        <f t="shared" ca="1" si="1"/>
        <v>0.57680011757476135</v>
      </c>
      <c r="K22" s="17">
        <f t="shared" ca="1" si="2"/>
        <v>0.42319988242523865</v>
      </c>
      <c r="L22" s="17">
        <f t="shared" ca="1" si="3"/>
        <v>0</v>
      </c>
    </row>
    <row r="23" spans="2:12" x14ac:dyDescent="0.3">
      <c r="B23" s="17">
        <f ca="1"/>
        <v>37</v>
      </c>
      <c r="C23" s="17">
        <f ca="1"/>
        <v>5.5</v>
      </c>
      <c r="D23" s="17">
        <f ca="1"/>
        <v>3.5</v>
      </c>
      <c r="E23" s="17">
        <f ca="1"/>
        <v>1.3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17">
        <f ca="1"/>
        <v>0.30965118708956629</v>
      </c>
      <c r="J23" s="17">
        <f t="shared" ca="1" si="1"/>
        <v>0.57680011757476135</v>
      </c>
      <c r="K23" s="17">
        <f t="shared" ca="1" si="2"/>
        <v>0.42319988242523865</v>
      </c>
      <c r="L23" s="17">
        <f t="shared" ca="1" si="3"/>
        <v>0</v>
      </c>
    </row>
    <row r="24" spans="2:12" x14ac:dyDescent="0.3">
      <c r="B24" s="17">
        <f ca="1"/>
        <v>38</v>
      </c>
      <c r="C24" s="17">
        <f ca="1"/>
        <v>4.9000000000000004</v>
      </c>
      <c r="D24" s="17">
        <f ca="1"/>
        <v>3.6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17">
        <f ca="1"/>
        <v>0.15482559354478315</v>
      </c>
      <c r="J24" s="17">
        <f t="shared" ca="1" si="1"/>
        <v>0.53862926413761969</v>
      </c>
      <c r="K24" s="17">
        <f t="shared" ca="1" si="2"/>
        <v>0.46137073586238031</v>
      </c>
      <c r="L24" s="17">
        <f t="shared" ca="1" si="3"/>
        <v>0</v>
      </c>
    </row>
    <row r="25" spans="2:12" x14ac:dyDescent="0.3">
      <c r="B25" s="17">
        <f ca="1"/>
        <v>39</v>
      </c>
      <c r="C25" s="17">
        <f ca="1"/>
        <v>4.4000000000000004</v>
      </c>
      <c r="D25" s="17">
        <f ca="1"/>
        <v>3</v>
      </c>
      <c r="E25" s="17">
        <f ca="1"/>
        <v>1.3</v>
      </c>
      <c r="F25" s="17">
        <f ca="1"/>
        <v>0.2</v>
      </c>
      <c r="G25" s="17" t="str">
        <f ca="1"/>
        <v>setosa</v>
      </c>
      <c r="H25" s="17">
        <f t="shared" ca="1" si="0"/>
        <v>0</v>
      </c>
      <c r="I25" s="17">
        <f ca="1"/>
        <v>0.30965118708956629</v>
      </c>
      <c r="J25" s="17">
        <f t="shared" ca="1" si="1"/>
        <v>0.57680011757476135</v>
      </c>
      <c r="K25" s="17">
        <f t="shared" ca="1" si="2"/>
        <v>0.42319988242523865</v>
      </c>
      <c r="L25" s="17">
        <f t="shared" ca="1" si="3"/>
        <v>0</v>
      </c>
    </row>
    <row r="26" spans="2:12" x14ac:dyDescent="0.3">
      <c r="B26" s="17">
        <f ca="1"/>
        <v>40</v>
      </c>
      <c r="C26" s="17">
        <f ca="1"/>
        <v>5.0999999999999996</v>
      </c>
      <c r="D26" s="17">
        <f ca="1"/>
        <v>3.4</v>
      </c>
      <c r="E26" s="17">
        <f ca="1"/>
        <v>1.5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17">
        <f ca="1"/>
        <v>0.30965118708956629</v>
      </c>
      <c r="J26" s="17">
        <f t="shared" ca="1" si="1"/>
        <v>0.57680011757476135</v>
      </c>
      <c r="K26" s="17">
        <f t="shared" ca="1" si="2"/>
        <v>0.42319988242523865</v>
      </c>
      <c r="L26" s="17">
        <f t="shared" ca="1" si="3"/>
        <v>0</v>
      </c>
    </row>
    <row r="27" spans="2:12" x14ac:dyDescent="0.3">
      <c r="B27" s="17">
        <f ca="1"/>
        <v>41</v>
      </c>
      <c r="C27" s="17">
        <f ca="1"/>
        <v>5</v>
      </c>
      <c r="D27" s="17">
        <f ca="1"/>
        <v>3.5</v>
      </c>
      <c r="E27" s="17">
        <f ca="1"/>
        <v>1.3</v>
      </c>
      <c r="F27" s="17">
        <f ca="1"/>
        <v>0.3</v>
      </c>
      <c r="G27" s="17" t="str">
        <f ca="1"/>
        <v>setosa</v>
      </c>
      <c r="H27" s="17">
        <f t="shared" ca="1" si="0"/>
        <v>0</v>
      </c>
      <c r="I27" s="17">
        <f ca="1"/>
        <v>0.46447678063434938</v>
      </c>
      <c r="J27" s="17">
        <f t="shared" ca="1" si="1"/>
        <v>0.61407565412572618</v>
      </c>
      <c r="K27" s="17">
        <f t="shared" ca="1" si="2"/>
        <v>0.38592434587427382</v>
      </c>
      <c r="L27" s="17">
        <f t="shared" ca="1" si="3"/>
        <v>0</v>
      </c>
    </row>
    <row r="28" spans="2:12" x14ac:dyDescent="0.3">
      <c r="B28" s="17">
        <f ca="1"/>
        <v>42</v>
      </c>
      <c r="C28" s="17">
        <f ca="1"/>
        <v>4.5</v>
      </c>
      <c r="D28" s="17">
        <f ca="1"/>
        <v>2.2999999999999998</v>
      </c>
      <c r="E28" s="17">
        <f ca="1"/>
        <v>1.3</v>
      </c>
      <c r="F28" s="17">
        <f ca="1"/>
        <v>0.3</v>
      </c>
      <c r="G28" s="17" t="str">
        <f ca="1"/>
        <v>setosa</v>
      </c>
      <c r="H28" s="17">
        <f t="shared" ca="1" si="0"/>
        <v>0</v>
      </c>
      <c r="I28" s="17">
        <f ca="1"/>
        <v>0.46447678063434938</v>
      </c>
      <c r="J28" s="17">
        <f t="shared" ca="1" si="1"/>
        <v>0.61407565412572618</v>
      </c>
      <c r="K28" s="17">
        <f t="shared" ca="1" si="2"/>
        <v>0.38592434587427382</v>
      </c>
      <c r="L28" s="17">
        <f t="shared" ca="1" si="3"/>
        <v>0</v>
      </c>
    </row>
    <row r="29" spans="2:12" x14ac:dyDescent="0.3">
      <c r="B29" s="17">
        <f ca="1"/>
        <v>43</v>
      </c>
      <c r="C29" s="17">
        <f ca="1"/>
        <v>4.4000000000000004</v>
      </c>
      <c r="D29" s="17">
        <f ca="1"/>
        <v>3.2</v>
      </c>
      <c r="E29" s="17">
        <f ca="1"/>
        <v>1.3</v>
      </c>
      <c r="F29" s="17">
        <f ca="1"/>
        <v>0.2</v>
      </c>
      <c r="G29" s="17" t="str">
        <f ca="1"/>
        <v>setosa</v>
      </c>
      <c r="H29" s="17">
        <f t="shared" ca="1" si="0"/>
        <v>0</v>
      </c>
      <c r="I29" s="17">
        <f ca="1"/>
        <v>0.30965118708956629</v>
      </c>
      <c r="J29" s="17">
        <f t="shared" ca="1" si="1"/>
        <v>0.57680011757476135</v>
      </c>
      <c r="K29" s="17">
        <f t="shared" ca="1" si="2"/>
        <v>0.42319988242523865</v>
      </c>
      <c r="L29" s="17">
        <f t="shared" ca="1" si="3"/>
        <v>0</v>
      </c>
    </row>
    <row r="30" spans="2:12" x14ac:dyDescent="0.3">
      <c r="B30" s="17">
        <f ca="1"/>
        <v>44</v>
      </c>
      <c r="C30" s="17">
        <f ca="1"/>
        <v>5</v>
      </c>
      <c r="D30" s="17">
        <f ca="1"/>
        <v>3.5</v>
      </c>
      <c r="E30" s="17">
        <f ca="1"/>
        <v>1.6</v>
      </c>
      <c r="F30" s="17">
        <f ca="1"/>
        <v>0.6</v>
      </c>
      <c r="G30" s="17" t="str">
        <f ca="1"/>
        <v>setosa</v>
      </c>
      <c r="H30" s="17">
        <f t="shared" ca="1" si="0"/>
        <v>0</v>
      </c>
      <c r="I30" s="17">
        <f ca="1"/>
        <v>0.92895356126869877</v>
      </c>
      <c r="J30" s="17">
        <f t="shared" ca="1" si="1"/>
        <v>0.71686293754400465</v>
      </c>
      <c r="K30" s="17">
        <f t="shared" ca="1" si="2"/>
        <v>0.28313706245599535</v>
      </c>
      <c r="L30" s="17">
        <f t="shared" ca="1" si="3"/>
        <v>0</v>
      </c>
    </row>
    <row r="31" spans="2:12" x14ac:dyDescent="0.3">
      <c r="B31" s="17">
        <f ca="1"/>
        <v>45</v>
      </c>
      <c r="C31" s="17">
        <f ca="1"/>
        <v>5.0999999999999996</v>
      </c>
      <c r="D31" s="17">
        <f ca="1"/>
        <v>3.8</v>
      </c>
      <c r="E31" s="17">
        <f ca="1"/>
        <v>1.9</v>
      </c>
      <c r="F31" s="17">
        <f ca="1"/>
        <v>0.4</v>
      </c>
      <c r="G31" s="17" t="str">
        <f ca="1"/>
        <v>setosa</v>
      </c>
      <c r="H31" s="17">
        <f t="shared" ca="1" si="0"/>
        <v>0</v>
      </c>
      <c r="I31" s="17">
        <f ca="1"/>
        <v>0.61930237417913259</v>
      </c>
      <c r="J31" s="17">
        <f t="shared" ca="1" si="1"/>
        <v>0.65005986784971603</v>
      </c>
      <c r="K31" s="17">
        <f t="shared" ca="1" si="2"/>
        <v>0.34994013215028397</v>
      </c>
      <c r="L31" s="17">
        <f t="shared" ca="1" si="3"/>
        <v>0</v>
      </c>
    </row>
    <row r="32" spans="2:12" x14ac:dyDescent="0.3">
      <c r="B32" s="17">
        <f ca="1"/>
        <v>46</v>
      </c>
      <c r="C32" s="17">
        <f ca="1"/>
        <v>4.8</v>
      </c>
      <c r="D32" s="17">
        <f ca="1"/>
        <v>3</v>
      </c>
      <c r="E32" s="17">
        <f ca="1"/>
        <v>1.4</v>
      </c>
      <c r="F32" s="17">
        <f ca="1"/>
        <v>0.3</v>
      </c>
      <c r="G32" s="17" t="str">
        <f ca="1"/>
        <v>setosa</v>
      </c>
      <c r="H32" s="17">
        <f t="shared" ca="1" si="0"/>
        <v>0</v>
      </c>
      <c r="I32" s="17">
        <f ca="1"/>
        <v>0.46447678063434938</v>
      </c>
      <c r="J32" s="17">
        <f t="shared" ca="1" si="1"/>
        <v>0.61407565412572618</v>
      </c>
      <c r="K32" s="17">
        <f t="shared" ca="1" si="2"/>
        <v>0.38592434587427382</v>
      </c>
      <c r="L32" s="17">
        <f t="shared" ca="1" si="3"/>
        <v>0</v>
      </c>
    </row>
    <row r="33" spans="2:12" x14ac:dyDescent="0.3">
      <c r="B33" s="17">
        <f ca="1"/>
        <v>47</v>
      </c>
      <c r="C33" s="17">
        <f ca="1"/>
        <v>5.0999999999999996</v>
      </c>
      <c r="D33" s="17">
        <f ca="1"/>
        <v>3.8</v>
      </c>
      <c r="E33" s="17">
        <f ca="1"/>
        <v>1.6</v>
      </c>
      <c r="F33" s="17">
        <f ca="1"/>
        <v>0.2</v>
      </c>
      <c r="G33" s="17" t="str">
        <f ca="1"/>
        <v>setosa</v>
      </c>
      <c r="H33" s="17">
        <f t="shared" ca="1" si="0"/>
        <v>0</v>
      </c>
      <c r="I33" s="17">
        <f ca="1"/>
        <v>0.30965118708956629</v>
      </c>
      <c r="J33" s="17">
        <f t="shared" ca="1" si="1"/>
        <v>0.57680011757476135</v>
      </c>
      <c r="K33" s="17">
        <f t="shared" ca="1" si="2"/>
        <v>0.42319988242523865</v>
      </c>
      <c r="L33" s="17">
        <f t="shared" ca="1" si="3"/>
        <v>0</v>
      </c>
    </row>
    <row r="34" spans="2:12" x14ac:dyDescent="0.3">
      <c r="B34" s="17">
        <f ca="1"/>
        <v>48</v>
      </c>
      <c r="C34" s="17">
        <f ca="1"/>
        <v>4.5999999999999996</v>
      </c>
      <c r="D34" s="17">
        <f ca="1"/>
        <v>3.2</v>
      </c>
      <c r="E34" s="17">
        <f ca="1"/>
        <v>1.4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17">
        <f ca="1"/>
        <v>0.30965118708956629</v>
      </c>
      <c r="J34" s="17">
        <f t="shared" ca="1" si="1"/>
        <v>0.57680011757476135</v>
      </c>
      <c r="K34" s="17">
        <f t="shared" ca="1" si="2"/>
        <v>0.42319988242523865</v>
      </c>
      <c r="L34" s="17">
        <f t="shared" ca="1" si="3"/>
        <v>0</v>
      </c>
    </row>
    <row r="35" spans="2:12" x14ac:dyDescent="0.3">
      <c r="B35" s="17">
        <f ca="1"/>
        <v>49</v>
      </c>
      <c r="C35" s="17">
        <f ca="1"/>
        <v>5.3</v>
      </c>
      <c r="D35" s="17">
        <f ca="1"/>
        <v>3.7</v>
      </c>
      <c r="E35" s="17">
        <f ca="1"/>
        <v>1.5</v>
      </c>
      <c r="F35" s="17">
        <f ca="1"/>
        <v>0.2</v>
      </c>
      <c r="G35" s="17" t="str">
        <f ca="1"/>
        <v>setosa</v>
      </c>
      <c r="H35" s="17">
        <f t="shared" ca="1" si="0"/>
        <v>0</v>
      </c>
      <c r="I35" s="17">
        <f ca="1"/>
        <v>0.30965118708956629</v>
      </c>
      <c r="J35" s="17">
        <f t="shared" ca="1" si="1"/>
        <v>0.57680011757476135</v>
      </c>
      <c r="K35" s="17">
        <f t="shared" ca="1" si="2"/>
        <v>0.42319988242523865</v>
      </c>
      <c r="L35" s="17">
        <f t="shared" ca="1" si="3"/>
        <v>0</v>
      </c>
    </row>
    <row r="36" spans="2:12" x14ac:dyDescent="0.3">
      <c r="B36" s="17">
        <f ca="1"/>
        <v>50</v>
      </c>
      <c r="C36" s="17">
        <f ca="1"/>
        <v>5</v>
      </c>
      <c r="D36" s="17">
        <f ca="1"/>
        <v>3.3</v>
      </c>
      <c r="E36" s="17">
        <f ca="1"/>
        <v>1.4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17">
        <f ca="1"/>
        <v>0.30965118708956629</v>
      </c>
      <c r="J36" s="17">
        <f t="shared" ca="1" si="1"/>
        <v>0.57680011757476135</v>
      </c>
      <c r="K36" s="17">
        <f t="shared" ca="1" si="2"/>
        <v>0.42319988242523865</v>
      </c>
      <c r="L36" s="17">
        <f t="shared" ca="1" si="3"/>
        <v>0</v>
      </c>
    </row>
    <row r="37" spans="2:12" x14ac:dyDescent="0.3">
      <c r="B37" s="17">
        <f ca="1"/>
        <v>51</v>
      </c>
      <c r="C37" s="17">
        <f ca="1"/>
        <v>7</v>
      </c>
      <c r="D37" s="17">
        <f ca="1"/>
        <v>3.2</v>
      </c>
      <c r="E37" s="17">
        <f ca="1"/>
        <v>4.7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17">
        <f ca="1"/>
        <v>2.1675583096269637</v>
      </c>
      <c r="J37" s="17">
        <f t="shared" ca="1" si="1"/>
        <v>0.89729817280539836</v>
      </c>
      <c r="K37" s="17">
        <f t="shared" ca="1" si="2"/>
        <v>0.89729817280539836</v>
      </c>
      <c r="L37" s="17">
        <f t="shared" ca="1" si="3"/>
        <v>1</v>
      </c>
    </row>
    <row r="38" spans="2:12" x14ac:dyDescent="0.3">
      <c r="B38" s="17">
        <f ca="1"/>
        <v>52</v>
      </c>
      <c r="C38" s="17">
        <f ca="1"/>
        <v>6.4</v>
      </c>
      <c r="D38" s="17">
        <f ca="1"/>
        <v>3.2</v>
      </c>
      <c r="E38" s="17">
        <f ca="1"/>
        <v>4.5</v>
      </c>
      <c r="F38" s="17">
        <f ca="1"/>
        <v>1.5</v>
      </c>
      <c r="G38" s="17" t="str">
        <f ca="1"/>
        <v>versicolor</v>
      </c>
      <c r="H38" s="17">
        <f t="shared" ca="1" si="0"/>
        <v>1</v>
      </c>
      <c r="I38" s="17">
        <f ca="1"/>
        <v>2.322383903171747</v>
      </c>
      <c r="J38" s="17">
        <f t="shared" ca="1" si="1"/>
        <v>0.91071397532948406</v>
      </c>
      <c r="K38" s="17">
        <f t="shared" ca="1" si="2"/>
        <v>0.91071397532948406</v>
      </c>
      <c r="L38" s="17">
        <f t="shared" ca="1" si="3"/>
        <v>1</v>
      </c>
    </row>
    <row r="39" spans="2:12" x14ac:dyDescent="0.3">
      <c r="B39" s="17">
        <f ca="1"/>
        <v>53</v>
      </c>
      <c r="C39" s="17">
        <f ca="1"/>
        <v>6.9</v>
      </c>
      <c r="D39" s="17">
        <f ca="1"/>
        <v>3.1</v>
      </c>
      <c r="E39" s="17">
        <f ca="1"/>
        <v>4.9000000000000004</v>
      </c>
      <c r="F39" s="17">
        <f ca="1"/>
        <v>1.5</v>
      </c>
      <c r="G39" s="17" t="str">
        <f ca="1"/>
        <v>versicolor</v>
      </c>
      <c r="H39" s="17">
        <f t="shared" ca="1" si="0"/>
        <v>1</v>
      </c>
      <c r="I39" s="17">
        <f ca="1"/>
        <v>2.322383903171747</v>
      </c>
      <c r="J39" s="17">
        <f t="shared" ca="1" si="1"/>
        <v>0.91071397532948406</v>
      </c>
      <c r="K39" s="17">
        <f t="shared" ca="1" si="2"/>
        <v>0.91071397532948406</v>
      </c>
      <c r="L39" s="17">
        <f t="shared" ca="1" si="3"/>
        <v>1</v>
      </c>
    </row>
    <row r="40" spans="2:12" x14ac:dyDescent="0.3">
      <c r="B40" s="17">
        <f ca="1"/>
        <v>54</v>
      </c>
      <c r="C40" s="17">
        <f ca="1"/>
        <v>5.5</v>
      </c>
      <c r="D40" s="17">
        <f ca="1"/>
        <v>2.2999999999999998</v>
      </c>
      <c r="E40" s="17">
        <f ca="1"/>
        <v>4</v>
      </c>
      <c r="F40" s="17">
        <f ca="1"/>
        <v>1.3</v>
      </c>
      <c r="G40" s="17" t="str">
        <f ca="1"/>
        <v>versicolor</v>
      </c>
      <c r="H40" s="17">
        <f t="shared" ca="1" si="0"/>
        <v>1</v>
      </c>
      <c r="I40" s="17">
        <f ca="1"/>
        <v>2.0127327160821809</v>
      </c>
      <c r="J40" s="17">
        <f t="shared" ca="1" si="1"/>
        <v>0.88212746303776468</v>
      </c>
      <c r="K40" s="17">
        <f t="shared" ca="1" si="2"/>
        <v>0.88212746303776468</v>
      </c>
      <c r="L40" s="17">
        <f t="shared" ca="1" si="3"/>
        <v>1</v>
      </c>
    </row>
    <row r="41" spans="2:12" x14ac:dyDescent="0.3">
      <c r="B41" s="17">
        <f ca="1"/>
        <v>55</v>
      </c>
      <c r="C41" s="17">
        <f ca="1"/>
        <v>6.5</v>
      </c>
      <c r="D41" s="17">
        <f ca="1"/>
        <v>2.8</v>
      </c>
      <c r="E41" s="17">
        <f ca="1"/>
        <v>4.5999999999999996</v>
      </c>
      <c r="F41" s="17">
        <f ca="1"/>
        <v>1.5</v>
      </c>
      <c r="G41" s="17" t="str">
        <f ca="1"/>
        <v>versicolor</v>
      </c>
      <c r="H41" s="17">
        <f t="shared" ca="1" si="0"/>
        <v>1</v>
      </c>
      <c r="I41" s="17">
        <f ca="1"/>
        <v>2.322383903171747</v>
      </c>
      <c r="J41" s="17">
        <f t="shared" ca="1" si="1"/>
        <v>0.91071397532948406</v>
      </c>
      <c r="K41" s="17">
        <f t="shared" ca="1" si="2"/>
        <v>0.91071397532948406</v>
      </c>
      <c r="L41" s="17">
        <f t="shared" ca="1" si="3"/>
        <v>1</v>
      </c>
    </row>
    <row r="42" spans="2:12" x14ac:dyDescent="0.3">
      <c r="B42" s="17">
        <f ca="1"/>
        <v>56</v>
      </c>
      <c r="C42" s="17">
        <f ca="1"/>
        <v>5.7</v>
      </c>
      <c r="D42" s="17">
        <f ca="1"/>
        <v>2.8</v>
      </c>
      <c r="E42" s="17">
        <f ca="1"/>
        <v>4.5</v>
      </c>
      <c r="F42" s="17">
        <f ca="1"/>
        <v>1.3</v>
      </c>
      <c r="G42" s="17" t="str">
        <f ca="1"/>
        <v>versicolor</v>
      </c>
      <c r="H42" s="17">
        <f t="shared" ca="1" si="0"/>
        <v>1</v>
      </c>
      <c r="I42" s="17">
        <f ca="1"/>
        <v>2.0127327160821809</v>
      </c>
      <c r="J42" s="17">
        <f t="shared" ca="1" si="1"/>
        <v>0.88212746303776468</v>
      </c>
      <c r="K42" s="17">
        <f t="shared" ca="1" si="2"/>
        <v>0.88212746303776468</v>
      </c>
      <c r="L42" s="17">
        <f t="shared" ca="1" si="3"/>
        <v>1</v>
      </c>
    </row>
    <row r="43" spans="2:12" x14ac:dyDescent="0.3">
      <c r="B43" s="17">
        <f ca="1"/>
        <v>57</v>
      </c>
      <c r="C43" s="17">
        <f ca="1"/>
        <v>6.3</v>
      </c>
      <c r="D43" s="17">
        <f ca="1"/>
        <v>3.3</v>
      </c>
      <c r="E43" s="17">
        <f ca="1"/>
        <v>4.7</v>
      </c>
      <c r="F43" s="17">
        <f ca="1"/>
        <v>1.6</v>
      </c>
      <c r="G43" s="17" t="str">
        <f ca="1"/>
        <v>versicolor</v>
      </c>
      <c r="H43" s="17">
        <f t="shared" ca="1" si="0"/>
        <v>1</v>
      </c>
      <c r="I43" s="17">
        <f ca="1"/>
        <v>2.4772094967165303</v>
      </c>
      <c r="J43" s="17">
        <f t="shared" ca="1" si="1"/>
        <v>0.92252859675274168</v>
      </c>
      <c r="K43" s="17">
        <f t="shared" ca="1" si="2"/>
        <v>0.92252859675274168</v>
      </c>
      <c r="L43" s="17">
        <f t="shared" ca="1" si="3"/>
        <v>1</v>
      </c>
    </row>
    <row r="44" spans="2:12" x14ac:dyDescent="0.3">
      <c r="B44" s="17">
        <f ca="1"/>
        <v>58</v>
      </c>
      <c r="C44" s="17">
        <f ca="1"/>
        <v>4.9000000000000004</v>
      </c>
      <c r="D44" s="17">
        <f ca="1"/>
        <v>2.4</v>
      </c>
      <c r="E44" s="17">
        <f ca="1"/>
        <v>3.3</v>
      </c>
      <c r="F44" s="17">
        <f ca="1"/>
        <v>1</v>
      </c>
      <c r="G44" s="17" t="str">
        <f ca="1"/>
        <v>versicolor</v>
      </c>
      <c r="H44" s="17">
        <f t="shared" ca="1" si="0"/>
        <v>1</v>
      </c>
      <c r="I44" s="17">
        <f ca="1"/>
        <v>1.5482559354478314</v>
      </c>
      <c r="J44" s="17">
        <f t="shared" ca="1" si="1"/>
        <v>0.82466169197233596</v>
      </c>
      <c r="K44" s="17">
        <f t="shared" ca="1" si="2"/>
        <v>0.82466169197233596</v>
      </c>
      <c r="L44" s="17">
        <f t="shared" ca="1" si="3"/>
        <v>1</v>
      </c>
    </row>
    <row r="45" spans="2:12" x14ac:dyDescent="0.3">
      <c r="B45" s="17">
        <f ca="1"/>
        <v>59</v>
      </c>
      <c r="C45" s="17">
        <f ca="1"/>
        <v>6.6</v>
      </c>
      <c r="D45" s="17">
        <f ca="1"/>
        <v>2.9</v>
      </c>
      <c r="E45" s="17">
        <f ca="1"/>
        <v>4.5999999999999996</v>
      </c>
      <c r="F45" s="17">
        <f ca="1"/>
        <v>1.3</v>
      </c>
      <c r="G45" s="17" t="str">
        <f ca="1"/>
        <v>versicolor</v>
      </c>
      <c r="H45" s="17">
        <f t="shared" ca="1" si="0"/>
        <v>1</v>
      </c>
      <c r="I45" s="17">
        <f ca="1"/>
        <v>2.0127327160821809</v>
      </c>
      <c r="J45" s="17">
        <f t="shared" ca="1" si="1"/>
        <v>0.88212746303776468</v>
      </c>
      <c r="K45" s="17">
        <f t="shared" ca="1" si="2"/>
        <v>0.88212746303776468</v>
      </c>
      <c r="L45" s="17">
        <f t="shared" ca="1" si="3"/>
        <v>1</v>
      </c>
    </row>
    <row r="46" spans="2:12" x14ac:dyDescent="0.3">
      <c r="B46" s="17">
        <f ca="1"/>
        <v>60</v>
      </c>
      <c r="C46" s="17">
        <f ca="1"/>
        <v>5.2</v>
      </c>
      <c r="D46" s="17">
        <f ca="1"/>
        <v>2.7</v>
      </c>
      <c r="E46" s="17">
        <f ca="1"/>
        <v>3.9</v>
      </c>
      <c r="F46" s="17">
        <f ca="1"/>
        <v>1.4</v>
      </c>
      <c r="G46" s="17" t="str">
        <f ca="1"/>
        <v>versicolor</v>
      </c>
      <c r="H46" s="17">
        <f t="shared" ca="1" si="0"/>
        <v>1</v>
      </c>
      <c r="I46" s="17">
        <f ca="1"/>
        <v>2.1675583096269637</v>
      </c>
      <c r="J46" s="17">
        <f t="shared" ca="1" si="1"/>
        <v>0.89729817280539836</v>
      </c>
      <c r="K46" s="17">
        <f t="shared" ca="1" si="2"/>
        <v>0.89729817280539836</v>
      </c>
      <c r="L46" s="17">
        <f t="shared" ca="1" si="3"/>
        <v>1</v>
      </c>
    </row>
    <row r="47" spans="2:12" x14ac:dyDescent="0.3">
      <c r="B47" s="17">
        <f ca="1"/>
        <v>61</v>
      </c>
      <c r="C47" s="17">
        <f ca="1"/>
        <v>5</v>
      </c>
      <c r="D47" s="17">
        <f ca="1"/>
        <v>2</v>
      </c>
      <c r="E47" s="17">
        <f ca="1"/>
        <v>3.5</v>
      </c>
      <c r="F47" s="17">
        <f ca="1"/>
        <v>1</v>
      </c>
      <c r="G47" s="17" t="str">
        <f ca="1"/>
        <v>versicolor</v>
      </c>
      <c r="H47" s="17">
        <f t="shared" ca="1" si="0"/>
        <v>1</v>
      </c>
      <c r="I47" s="17">
        <f ca="1"/>
        <v>1.5482559354478314</v>
      </c>
      <c r="J47" s="17">
        <f t="shared" ca="1" si="1"/>
        <v>0.82466169197233596</v>
      </c>
      <c r="K47" s="17">
        <f t="shared" ca="1" si="2"/>
        <v>0.82466169197233596</v>
      </c>
      <c r="L47" s="17">
        <f t="shared" ca="1" si="3"/>
        <v>1</v>
      </c>
    </row>
    <row r="48" spans="2:12" x14ac:dyDescent="0.3">
      <c r="B48" s="17">
        <f ca="1"/>
        <v>62</v>
      </c>
      <c r="C48" s="17">
        <f ca="1"/>
        <v>5.9</v>
      </c>
      <c r="D48" s="17">
        <f ca="1"/>
        <v>3</v>
      </c>
      <c r="E48" s="17">
        <f ca="1"/>
        <v>4.2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17">
        <f ca="1"/>
        <v>2.322383903171747</v>
      </c>
      <c r="J48" s="17">
        <f t="shared" ca="1" si="1"/>
        <v>0.91071397532948406</v>
      </c>
      <c r="K48" s="17">
        <f t="shared" ca="1" si="2"/>
        <v>0.91071397532948406</v>
      </c>
      <c r="L48" s="17">
        <f t="shared" ca="1" si="3"/>
        <v>1</v>
      </c>
    </row>
    <row r="49" spans="2:12" x14ac:dyDescent="0.3">
      <c r="B49" s="17">
        <f ca="1"/>
        <v>63</v>
      </c>
      <c r="C49" s="17">
        <f ca="1"/>
        <v>6</v>
      </c>
      <c r="D49" s="17">
        <f ca="1"/>
        <v>2.2000000000000002</v>
      </c>
      <c r="E49" s="17">
        <f ca="1"/>
        <v>4</v>
      </c>
      <c r="F49" s="17">
        <f ca="1"/>
        <v>1</v>
      </c>
      <c r="G49" s="17" t="str">
        <f ca="1"/>
        <v>versicolor</v>
      </c>
      <c r="H49" s="17">
        <f t="shared" ca="1" si="0"/>
        <v>1</v>
      </c>
      <c r="I49" s="17">
        <f ca="1"/>
        <v>1.5482559354478314</v>
      </c>
      <c r="J49" s="17">
        <f t="shared" ca="1" si="1"/>
        <v>0.82466169197233596</v>
      </c>
      <c r="K49" s="17">
        <f t="shared" ca="1" si="2"/>
        <v>0.82466169197233596</v>
      </c>
      <c r="L49" s="17">
        <f t="shared" ca="1" si="3"/>
        <v>1</v>
      </c>
    </row>
    <row r="50" spans="2:12" x14ac:dyDescent="0.3">
      <c r="B50" s="17">
        <f ca="1"/>
        <v>64</v>
      </c>
      <c r="C50" s="17">
        <f ca="1"/>
        <v>6.1</v>
      </c>
      <c r="D50" s="17">
        <f ca="1"/>
        <v>2.9</v>
      </c>
      <c r="E50" s="17">
        <f ca="1"/>
        <v>4.7</v>
      </c>
      <c r="F50" s="17">
        <f ca="1"/>
        <v>1.4</v>
      </c>
      <c r="G50" s="17" t="str">
        <f ca="1"/>
        <v>versicolor</v>
      </c>
      <c r="H50" s="17">
        <f t="shared" ca="1" si="0"/>
        <v>1</v>
      </c>
      <c r="I50" s="17">
        <f ca="1"/>
        <v>2.1675583096269637</v>
      </c>
      <c r="J50" s="17">
        <f t="shared" ca="1" si="1"/>
        <v>0.89729817280539836</v>
      </c>
      <c r="K50" s="17">
        <f t="shared" ca="1" si="2"/>
        <v>0.89729817280539836</v>
      </c>
      <c r="L50" s="17">
        <f t="shared" ca="1" si="3"/>
        <v>1</v>
      </c>
    </row>
    <row r="51" spans="2:12" x14ac:dyDescent="0.3">
      <c r="B51" s="17">
        <f ca="1"/>
        <v>65</v>
      </c>
      <c r="C51" s="17">
        <f ca="1"/>
        <v>5.6</v>
      </c>
      <c r="D51" s="17">
        <f ca="1"/>
        <v>2.9</v>
      </c>
      <c r="E51" s="17">
        <f ca="1"/>
        <v>3.6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17">
        <f ca="1"/>
        <v>2.0127327160821809</v>
      </c>
      <c r="J51" s="17">
        <f t="shared" ca="1" si="1"/>
        <v>0.88212746303776468</v>
      </c>
      <c r="K51" s="17">
        <f t="shared" ca="1" si="2"/>
        <v>0.88212746303776468</v>
      </c>
      <c r="L51" s="17">
        <f t="shared" ca="1" si="3"/>
        <v>1</v>
      </c>
    </row>
    <row r="52" spans="2:12" x14ac:dyDescent="0.3">
      <c r="B52" s="17">
        <f ca="1"/>
        <v>66</v>
      </c>
      <c r="C52" s="17">
        <f ca="1"/>
        <v>6.7</v>
      </c>
      <c r="D52" s="17">
        <f ca="1"/>
        <v>3.1</v>
      </c>
      <c r="E52" s="17">
        <f ca="1"/>
        <v>4.4000000000000004</v>
      </c>
      <c r="F52" s="17">
        <f ca="1"/>
        <v>1.4</v>
      </c>
      <c r="G52" s="17" t="str">
        <f ca="1"/>
        <v>versicolor</v>
      </c>
      <c r="H52" s="17">
        <f t="shared" ca="1" si="0"/>
        <v>1</v>
      </c>
      <c r="I52" s="17">
        <f ca="1"/>
        <v>2.1675583096269637</v>
      </c>
      <c r="J52" s="17">
        <f t="shared" ca="1" si="1"/>
        <v>0.89729817280539836</v>
      </c>
      <c r="K52" s="17">
        <f t="shared" ca="1" si="2"/>
        <v>0.89729817280539836</v>
      </c>
      <c r="L52" s="17">
        <f t="shared" ca="1" si="3"/>
        <v>1</v>
      </c>
    </row>
    <row r="53" spans="2:12" x14ac:dyDescent="0.3">
      <c r="B53" s="17">
        <f ca="1"/>
        <v>67</v>
      </c>
      <c r="C53" s="17">
        <f ca="1"/>
        <v>5.6</v>
      </c>
      <c r="D53" s="17">
        <f ca="1"/>
        <v>3</v>
      </c>
      <c r="E53" s="17">
        <f ca="1"/>
        <v>4.5</v>
      </c>
      <c r="F53" s="17">
        <f ca="1"/>
        <v>1.5</v>
      </c>
      <c r="G53" s="17" t="str">
        <f ca="1"/>
        <v>versicolor</v>
      </c>
      <c r="H53" s="17">
        <f t="shared" ca="1" si="0"/>
        <v>1</v>
      </c>
      <c r="I53" s="17">
        <f ca="1"/>
        <v>2.322383903171747</v>
      </c>
      <c r="J53" s="17">
        <f t="shared" ca="1" si="1"/>
        <v>0.91071397532948406</v>
      </c>
      <c r="K53" s="17">
        <f t="shared" ca="1" si="2"/>
        <v>0.91071397532948406</v>
      </c>
      <c r="L53" s="17">
        <f t="shared" ca="1" si="3"/>
        <v>1</v>
      </c>
    </row>
    <row r="54" spans="2:12" x14ac:dyDescent="0.3">
      <c r="B54" s="17">
        <f ca="1"/>
        <v>68</v>
      </c>
      <c r="C54" s="17">
        <f ca="1"/>
        <v>5.8</v>
      </c>
      <c r="D54" s="17">
        <f ca="1"/>
        <v>2.7</v>
      </c>
      <c r="E54" s="17">
        <f ca="1"/>
        <v>4.0999999999999996</v>
      </c>
      <c r="F54" s="17">
        <f ca="1"/>
        <v>1</v>
      </c>
      <c r="G54" s="17" t="str">
        <f ca="1"/>
        <v>versicolor</v>
      </c>
      <c r="H54" s="17">
        <f t="shared" ca="1" si="0"/>
        <v>1</v>
      </c>
      <c r="I54" s="17">
        <f ca="1"/>
        <v>1.5482559354478314</v>
      </c>
      <c r="J54" s="17">
        <f t="shared" ca="1" si="1"/>
        <v>0.82466169197233596</v>
      </c>
      <c r="K54" s="17">
        <f t="shared" ca="1" si="2"/>
        <v>0.82466169197233596</v>
      </c>
      <c r="L54" s="17">
        <f t="shared" ca="1" si="3"/>
        <v>1</v>
      </c>
    </row>
    <row r="55" spans="2:12" x14ac:dyDescent="0.3">
      <c r="B55" s="17">
        <f ca="1"/>
        <v>69</v>
      </c>
      <c r="C55" s="17">
        <f ca="1"/>
        <v>6.2</v>
      </c>
      <c r="D55" s="17">
        <f ca="1"/>
        <v>2.2000000000000002</v>
      </c>
      <c r="E55" s="17">
        <f ca="1"/>
        <v>4.5</v>
      </c>
      <c r="F55" s="17">
        <f ca="1"/>
        <v>1.5</v>
      </c>
      <c r="G55" s="17" t="str">
        <f ca="1"/>
        <v>versicolor</v>
      </c>
      <c r="H55" s="17">
        <f t="shared" ca="1" si="0"/>
        <v>1</v>
      </c>
      <c r="I55" s="17">
        <f ca="1"/>
        <v>2.322383903171747</v>
      </c>
      <c r="J55" s="17">
        <f t="shared" ca="1" si="1"/>
        <v>0.91071397532948406</v>
      </c>
      <c r="K55" s="17">
        <f t="shared" ca="1" si="2"/>
        <v>0.91071397532948406</v>
      </c>
      <c r="L55" s="17">
        <f t="shared" ca="1" si="3"/>
        <v>1</v>
      </c>
    </row>
    <row r="56" spans="2:12" x14ac:dyDescent="0.3">
      <c r="B56" s="17">
        <f ca="1"/>
        <v>70</v>
      </c>
      <c r="C56" s="17">
        <f ca="1"/>
        <v>5.6</v>
      </c>
      <c r="D56" s="17">
        <f ca="1"/>
        <v>2.5</v>
      </c>
      <c r="E56" s="17">
        <f ca="1"/>
        <v>3.9</v>
      </c>
      <c r="F56" s="17">
        <f ca="1"/>
        <v>1.1000000000000001</v>
      </c>
      <c r="G56" s="17" t="str">
        <f ca="1"/>
        <v>versicolor</v>
      </c>
      <c r="H56" s="17">
        <f t="shared" ca="1" si="0"/>
        <v>1</v>
      </c>
      <c r="I56" s="17">
        <f ca="1"/>
        <v>1.7030815289926147</v>
      </c>
      <c r="J56" s="17">
        <f t="shared" ca="1" si="1"/>
        <v>0.84593677191513728</v>
      </c>
      <c r="K56" s="17">
        <f t="shared" ca="1" si="2"/>
        <v>0.84593677191513728</v>
      </c>
      <c r="L56" s="17">
        <f t="shared" ca="1" si="3"/>
        <v>1</v>
      </c>
    </row>
    <row r="57" spans="2:12" x14ac:dyDescent="0.3">
      <c r="B57" s="17">
        <f ca="1"/>
        <v>71</v>
      </c>
      <c r="C57" s="17">
        <f ca="1"/>
        <v>5.9</v>
      </c>
      <c r="D57" s="17">
        <f ca="1"/>
        <v>3.2</v>
      </c>
      <c r="E57" s="17">
        <f ca="1"/>
        <v>4.8</v>
      </c>
      <c r="F57" s="17">
        <f ca="1"/>
        <v>1.8</v>
      </c>
      <c r="G57" s="17" t="str">
        <f ca="1"/>
        <v>versicolor</v>
      </c>
      <c r="H57" s="17">
        <f t="shared" ca="1" si="0"/>
        <v>1</v>
      </c>
      <c r="I57" s="17">
        <f ca="1"/>
        <v>2.7868606838060965</v>
      </c>
      <c r="J57" s="17">
        <f t="shared" ca="1" si="1"/>
        <v>0.94196165657422537</v>
      </c>
      <c r="K57" s="17">
        <f t="shared" ca="1" si="2"/>
        <v>0.94196165657422537</v>
      </c>
      <c r="L57" s="17">
        <f t="shared" ca="1" si="3"/>
        <v>1</v>
      </c>
    </row>
    <row r="58" spans="2:12" x14ac:dyDescent="0.3">
      <c r="B58" s="17">
        <f ca="1"/>
        <v>72</v>
      </c>
      <c r="C58" s="17">
        <f ca="1"/>
        <v>6.1</v>
      </c>
      <c r="D58" s="17">
        <f ca="1"/>
        <v>2.8</v>
      </c>
      <c r="E58" s="17">
        <f ca="1"/>
        <v>4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17">
        <f ca="1"/>
        <v>2.0127327160821809</v>
      </c>
      <c r="J58" s="17">
        <f t="shared" ca="1" si="1"/>
        <v>0.88212746303776468</v>
      </c>
      <c r="K58" s="17">
        <f t="shared" ca="1" si="2"/>
        <v>0.88212746303776468</v>
      </c>
      <c r="L58" s="17">
        <f t="shared" ca="1" si="3"/>
        <v>1</v>
      </c>
    </row>
    <row r="59" spans="2:12" x14ac:dyDescent="0.3">
      <c r="B59" s="17">
        <f ca="1"/>
        <v>73</v>
      </c>
      <c r="C59" s="17">
        <f ca="1"/>
        <v>6.3</v>
      </c>
      <c r="D59" s="17">
        <f ca="1"/>
        <v>2.5</v>
      </c>
      <c r="E59" s="17">
        <f ca="1"/>
        <v>4.9000000000000004</v>
      </c>
      <c r="F59" s="17">
        <f ca="1"/>
        <v>1.5</v>
      </c>
      <c r="G59" s="17" t="str">
        <f ca="1"/>
        <v>versicolor</v>
      </c>
      <c r="H59" s="17">
        <f t="shared" ca="1" si="0"/>
        <v>1</v>
      </c>
      <c r="I59" s="17">
        <f ca="1"/>
        <v>2.322383903171747</v>
      </c>
      <c r="J59" s="17">
        <f t="shared" ca="1" si="1"/>
        <v>0.91071397532948406</v>
      </c>
      <c r="K59" s="17">
        <f t="shared" ca="1" si="2"/>
        <v>0.91071397532948406</v>
      </c>
      <c r="L59" s="17">
        <f t="shared" ca="1" si="3"/>
        <v>1</v>
      </c>
    </row>
    <row r="60" spans="2:12" x14ac:dyDescent="0.3">
      <c r="B60" s="17">
        <f ca="1"/>
        <v>74</v>
      </c>
      <c r="C60" s="17">
        <f ca="1"/>
        <v>6.1</v>
      </c>
      <c r="D60" s="17">
        <f ca="1"/>
        <v>2.8</v>
      </c>
      <c r="E60" s="17">
        <f ca="1"/>
        <v>4.7</v>
      </c>
      <c r="F60" s="17">
        <f ca="1"/>
        <v>1.2</v>
      </c>
      <c r="G60" s="17" t="str">
        <f ca="1"/>
        <v>versicolor</v>
      </c>
      <c r="H60" s="17">
        <f t="shared" ca="1" si="0"/>
        <v>1</v>
      </c>
      <c r="I60" s="17">
        <f ca="1"/>
        <v>1.8579071225373975</v>
      </c>
      <c r="J60" s="17">
        <f t="shared" ca="1" si="1"/>
        <v>0.86505281959180802</v>
      </c>
      <c r="K60" s="17">
        <f t="shared" ca="1" si="2"/>
        <v>0.86505281959180802</v>
      </c>
      <c r="L60" s="17">
        <f t="shared" ca="1" si="3"/>
        <v>1</v>
      </c>
    </row>
    <row r="61" spans="2:12" x14ac:dyDescent="0.3">
      <c r="B61" s="17">
        <f ca="1"/>
        <v>75</v>
      </c>
      <c r="C61" s="17">
        <f ca="1"/>
        <v>6.4</v>
      </c>
      <c r="D61" s="17">
        <f ca="1"/>
        <v>2.9</v>
      </c>
      <c r="E61" s="17">
        <f ca="1"/>
        <v>4.3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17">
        <f ca="1"/>
        <v>2.0127327160821809</v>
      </c>
      <c r="J61" s="17">
        <f t="shared" ca="1" si="1"/>
        <v>0.88212746303776468</v>
      </c>
      <c r="K61" s="17">
        <f t="shared" ca="1" si="2"/>
        <v>0.88212746303776468</v>
      </c>
      <c r="L61" s="17">
        <f t="shared" ca="1" si="3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7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67</v>
      </c>
    </row>
    <row r="2" spans="1:1" x14ac:dyDescent="0.3">
      <c r="A2" s="1" t="s">
        <v>68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2"/>
    <col min="5" max="9" width="12.6640625" style="42" bestFit="1" customWidth="1"/>
    <col min="10" max="10" width="10.83203125" style="42"/>
    <col min="11" max="11" width="12.6640625" style="42" bestFit="1" customWidth="1"/>
    <col min="12" max="16384" width="10.83203125" style="42"/>
  </cols>
  <sheetData>
    <row r="3" spans="4:11" x14ac:dyDescent="0.55000000000000004">
      <c r="E3" s="42" t="s">
        <v>133</v>
      </c>
      <c r="F3" s="42" t="s">
        <v>134</v>
      </c>
      <c r="G3" s="42" t="s">
        <v>135</v>
      </c>
      <c r="H3" s="42" t="s">
        <v>136</v>
      </c>
      <c r="I3" s="42" t="s">
        <v>137</v>
      </c>
    </row>
    <row r="4" spans="4:11" x14ac:dyDescent="0.55000000000000004">
      <c r="D4" s="42" t="s">
        <v>133</v>
      </c>
      <c r="E4" s="43"/>
      <c r="F4" s="43">
        <f ca="1">RAND()</f>
        <v>0.84284167506285523</v>
      </c>
      <c r="G4" s="43">
        <f t="shared" ref="G4:I7" ca="1" si="0">RAND()</f>
        <v>0.613380052588817</v>
      </c>
      <c r="H4" s="43">
        <f t="shared" ca="1" si="0"/>
        <v>8.5534664113972925E-2</v>
      </c>
      <c r="I4" s="43">
        <f t="shared" ca="1" si="0"/>
        <v>0.29238766931224136</v>
      </c>
      <c r="K4" s="45">
        <f ca="1">AVERAGE(E4:I4)</f>
        <v>0.45853601526947163</v>
      </c>
    </row>
    <row r="5" spans="4:11" x14ac:dyDescent="0.55000000000000004">
      <c r="D5" s="42" t="s">
        <v>134</v>
      </c>
      <c r="E5" s="44">
        <f ca="1">1-F4</f>
        <v>0.15715832493714477</v>
      </c>
      <c r="F5" s="43"/>
      <c r="G5" s="43">
        <f t="shared" ca="1" si="0"/>
        <v>0.71523802168540662</v>
      </c>
      <c r="H5" s="43">
        <f t="shared" ca="1" si="0"/>
        <v>0.59188603311100341</v>
      </c>
      <c r="I5" s="43">
        <f t="shared" ca="1" si="0"/>
        <v>0.11478323895848819</v>
      </c>
      <c r="K5" s="45">
        <f t="shared" ref="K5:K8" ca="1" si="1">AVERAGE(E5:I5)</f>
        <v>0.39476640467301072</v>
      </c>
    </row>
    <row r="6" spans="4:11" x14ac:dyDescent="0.55000000000000004">
      <c r="D6" s="42" t="s">
        <v>135</v>
      </c>
      <c r="E6" s="44">
        <f ca="1">1-G4</f>
        <v>0.386619947411183</v>
      </c>
      <c r="F6" s="44">
        <f ca="1">1-G5</f>
        <v>0.28476197831459338</v>
      </c>
      <c r="G6" s="43"/>
      <c r="H6" s="43">
        <f t="shared" ca="1" si="0"/>
        <v>0.65357100123556966</v>
      </c>
      <c r="I6" s="43">
        <f t="shared" ca="1" si="0"/>
        <v>7.8756283057284659E-2</v>
      </c>
      <c r="K6" s="45">
        <f t="shared" ca="1" si="1"/>
        <v>0.35092730250465765</v>
      </c>
    </row>
    <row r="7" spans="4:11" x14ac:dyDescent="0.55000000000000004">
      <c r="D7" s="42" t="s">
        <v>136</v>
      </c>
      <c r="E7" s="44">
        <f ca="1">1-H4</f>
        <v>0.91446533588602708</v>
      </c>
      <c r="F7" s="44">
        <f ca="1">1-H5</f>
        <v>0.40811396688899659</v>
      </c>
      <c r="G7" s="44">
        <f ca="1">1-H6</f>
        <v>0.34642899876443034</v>
      </c>
      <c r="H7" s="43"/>
      <c r="I7" s="43">
        <f t="shared" ca="1" si="0"/>
        <v>0.28948898827751568</v>
      </c>
      <c r="K7" s="45">
        <f t="shared" ca="1" si="1"/>
        <v>0.48962432245424248</v>
      </c>
    </row>
    <row r="8" spans="4:11" x14ac:dyDescent="0.55000000000000004">
      <c r="D8" s="42" t="s">
        <v>137</v>
      </c>
      <c r="E8" s="44">
        <f ca="1">1-I4</f>
        <v>0.70761233068775864</v>
      </c>
      <c r="F8" s="44">
        <f ca="1">1-I5</f>
        <v>0.88521676104151181</v>
      </c>
      <c r="G8" s="44">
        <f ca="1">1-I6</f>
        <v>0.92124371694271534</v>
      </c>
      <c r="H8" s="44">
        <f ca="1">1-I7</f>
        <v>0.71051101172248432</v>
      </c>
      <c r="I8" s="43"/>
      <c r="K8" s="45">
        <f t="shared" ca="1" si="1"/>
        <v>0.80614595509861753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/>
  </sheetViews>
  <sheetFormatPr baseColWidth="10" defaultRowHeight="47" x14ac:dyDescent="0.55000000000000004"/>
  <cols>
    <col min="1" max="4" width="10.83203125" style="42"/>
    <col min="5" max="5" width="12.6640625" style="42" customWidth="1"/>
    <col min="6" max="16384" width="10.83203125" style="42"/>
  </cols>
  <sheetData>
    <row r="3" spans="4:5" x14ac:dyDescent="0.55000000000000004">
      <c r="E3" s="42" t="s">
        <v>145</v>
      </c>
    </row>
    <row r="4" spans="4:5" x14ac:dyDescent="0.55000000000000004">
      <c r="D4" s="42" t="s">
        <v>133</v>
      </c>
      <c r="E4" s="43">
        <f ca="1">RAND()</f>
        <v>0.39681061164490461</v>
      </c>
    </row>
    <row r="5" spans="4:5" x14ac:dyDescent="0.55000000000000004">
      <c r="D5" s="42" t="s">
        <v>134</v>
      </c>
      <c r="E5" s="43">
        <f t="shared" ref="E5:E8" ca="1" si="0">RAND()</f>
        <v>0.36836654283068415</v>
      </c>
    </row>
    <row r="6" spans="4:5" x14ac:dyDescent="0.55000000000000004">
      <c r="D6" s="42" t="s">
        <v>135</v>
      </c>
      <c r="E6" s="43">
        <f t="shared" ca="1" si="0"/>
        <v>0.12807876661447404</v>
      </c>
    </row>
    <row r="7" spans="4:5" x14ac:dyDescent="0.55000000000000004">
      <c r="D7" s="42" t="s">
        <v>136</v>
      </c>
      <c r="E7" s="43">
        <f t="shared" ca="1" si="0"/>
        <v>0.17118974562958134</v>
      </c>
    </row>
    <row r="8" spans="4:5" x14ac:dyDescent="0.55000000000000004">
      <c r="D8" s="42" t="s">
        <v>137</v>
      </c>
      <c r="E8" s="43">
        <f t="shared" ca="1" si="0"/>
        <v>0.43696851925281621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98</v>
      </c>
    </row>
    <row r="2" spans="1:1" x14ac:dyDescent="0.3">
      <c r="A2" s="1" t="s">
        <v>99</v>
      </c>
    </row>
    <row r="3" spans="1:1" x14ac:dyDescent="0.3">
      <c r="A3" s="1" t="s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3" t="s">
        <v>77</v>
      </c>
    </row>
    <row r="3" spans="1:8" x14ac:dyDescent="0.3">
      <c r="B3" s="24" t="s">
        <v>46</v>
      </c>
      <c r="C3" s="24" t="s">
        <v>78</v>
      </c>
      <c r="D3" s="24" t="s">
        <v>79</v>
      </c>
      <c r="E3" s="24" t="s">
        <v>80</v>
      </c>
      <c r="F3" s="24" t="s">
        <v>81</v>
      </c>
      <c r="G3" s="24" t="s">
        <v>82</v>
      </c>
      <c r="H3" s="24" t="s">
        <v>83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3.8019508460064388</v>
      </c>
      <c r="H4" s="1">
        <f ca="1">_xlfn.NORM.INV(RAND(),E4,F4)</f>
        <v>6.10942206894177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4.0763335853725238</v>
      </c>
      <c r="H5" s="1">
        <f t="shared" ref="H5:H33" ca="1" si="1">_xlfn.NORM.INV(RAND(),E5,F5)</f>
        <v>6.0606228906860133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3.3532809453511687</v>
      </c>
      <c r="H6" s="1">
        <f t="shared" ca="1" si="1"/>
        <v>5.838720540916376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3.3653440808580042</v>
      </c>
      <c r="H7" s="1">
        <f t="shared" ca="1" si="1"/>
        <v>5.9133752785283393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3.7164159058892525</v>
      </c>
      <c r="H8" s="1">
        <f t="shared" ca="1" si="1"/>
        <v>6.4384519892469543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3.88089557530561</v>
      </c>
      <c r="H9" s="1">
        <f t="shared" ca="1" si="1"/>
        <v>6.29395157802578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4.4475742864077858</v>
      </c>
      <c r="H10" s="1">
        <f t="shared" ca="1" si="1"/>
        <v>6.3837624696423418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4.7284215205408238</v>
      </c>
      <c r="H11" s="1">
        <f t="shared" ca="1" si="1"/>
        <v>5.9491764393026019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4.8102221181658678</v>
      </c>
      <c r="H12" s="1">
        <f t="shared" ca="1" si="1"/>
        <v>6.1824885428446752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4.4920024052115988</v>
      </c>
      <c r="H13" s="1">
        <f t="shared" ca="1" si="1"/>
        <v>5.9673841817703455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1.7219747628181412</v>
      </c>
      <c r="H14" s="1">
        <f t="shared" ca="1" si="1"/>
        <v>1.7692927171443653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1.9331414437417727</v>
      </c>
      <c r="H15" s="1">
        <f t="shared" ca="1" si="1"/>
        <v>2.1745290172470795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2.0092689764514362</v>
      </c>
      <c r="H16" s="1">
        <f t="shared" ca="1" si="1"/>
        <v>2.069952554186095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2.4381171883320265</v>
      </c>
      <c r="H17" s="1">
        <f t="shared" ca="1" si="1"/>
        <v>1.952889528174141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1.6272146794995348</v>
      </c>
      <c r="H18" s="1">
        <f t="shared" ca="1" si="1"/>
        <v>1.8846974479294492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1.8837051236610329</v>
      </c>
      <c r="H19" s="1">
        <f t="shared" ca="1" si="1"/>
        <v>2.1180599647142189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2.0948748022040733</v>
      </c>
      <c r="H20" s="1">
        <f t="shared" ca="1" si="1"/>
        <v>2.148915785422663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1.7024018160232284</v>
      </c>
      <c r="H21" s="1">
        <f t="shared" ca="1" si="1"/>
        <v>1.8279001246183513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1.6319621470603387</v>
      </c>
      <c r="H22" s="1">
        <f t="shared" ca="1" si="1"/>
        <v>1.5935406300777744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1.8091104532144893</v>
      </c>
      <c r="H23" s="1">
        <f t="shared" ca="1" si="1"/>
        <v>1.9259117959306078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1.7162260823182554</v>
      </c>
      <c r="H24" s="1">
        <f t="shared" ca="1" si="1"/>
        <v>8.8588527017380301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2.1614246445374703</v>
      </c>
      <c r="H25" s="1">
        <f t="shared" ca="1" si="1"/>
        <v>6.9493885604695507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1.633301849578229</v>
      </c>
      <c r="H26" s="1">
        <f t="shared" ca="1" si="1"/>
        <v>6.9867312891641262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1.5293743845381402</v>
      </c>
      <c r="H27" s="1">
        <f t="shared" ca="1" si="1"/>
        <v>6.4588904123297715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1.8774908991699635</v>
      </c>
      <c r="H28" s="1">
        <f t="shared" ca="1" si="1"/>
        <v>5.7042792950317569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1.7988485225872324</v>
      </c>
      <c r="H29" s="1">
        <f t="shared" ca="1" si="1"/>
        <v>6.6714710099492915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2.0869095047156021</v>
      </c>
      <c r="H30" s="1">
        <f t="shared" ca="1" si="1"/>
        <v>7.3825519288444799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2.0488250030140711</v>
      </c>
      <c r="H31" s="1">
        <f t="shared" ca="1" si="1"/>
        <v>7.7276379490233138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2.2051372329104617</v>
      </c>
      <c r="H32" s="1">
        <f t="shared" ca="1" si="1"/>
        <v>6.5265965060344477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2.098687676212228</v>
      </c>
      <c r="H33" s="1">
        <f t="shared" ca="1" si="1"/>
        <v>6.1296802663188314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6" customWidth="1"/>
    <col min="2" max="8" width="10.83203125" style="26"/>
    <col min="9" max="9" width="13.33203125" style="26" bestFit="1" customWidth="1"/>
    <col min="10" max="16384" width="10.83203125" style="26"/>
  </cols>
  <sheetData>
    <row r="2" spans="2:8" x14ac:dyDescent="0.3">
      <c r="B2" s="25" t="s">
        <v>84</v>
      </c>
    </row>
    <row r="5" spans="2:8" x14ac:dyDescent="0.3">
      <c r="B5" s="27" t="s">
        <v>85</v>
      </c>
      <c r="C5" s="26">
        <v>1</v>
      </c>
      <c r="D5" s="26">
        <v>1</v>
      </c>
    </row>
    <row r="6" spans="2:8" x14ac:dyDescent="0.3">
      <c r="B6" s="27" t="s">
        <v>86</v>
      </c>
      <c r="C6" s="26">
        <v>5</v>
      </c>
      <c r="D6" s="26">
        <v>5</v>
      </c>
    </row>
    <row r="7" spans="2:8" x14ac:dyDescent="0.3">
      <c r="B7" s="27" t="s">
        <v>87</v>
      </c>
      <c r="C7" s="26">
        <v>10</v>
      </c>
      <c r="D7" s="26">
        <v>10</v>
      </c>
    </row>
    <row r="9" spans="2:8" x14ac:dyDescent="0.3">
      <c r="B9" s="26" t="s">
        <v>88</v>
      </c>
      <c r="C9" s="26">
        <f ca="1">_xlfn.NORM.INV(RAND(),2,1)</f>
        <v>6.1603762073837443E-2</v>
      </c>
      <c r="D9" s="26">
        <f ca="1">_xlfn.NORM.INV(RAND(),2,1)</f>
        <v>2.3893534936609417</v>
      </c>
      <c r="E9" s="26" cm="1">
        <f t="array" aca="1" ref="E9" ca="1">SUMSQ(C9:D9-C$5:D$5)</f>
        <v>2.8108906297018397</v>
      </c>
      <c r="F9" s="26" cm="1">
        <f t="array" aca="1" ref="F9" ca="1">SUMSQ(C9:D9-C$6:D$6)</f>
        <v>31.203232583823606</v>
      </c>
      <c r="G9" s="26" cm="1">
        <f t="array" aca="1" ref="G9" ca="1">SUMSQ(C9:D9-C$7:D$7)</f>
        <v>156.69366002647584</v>
      </c>
      <c r="H9" s="26">
        <f ca="1">MATCH(MIN(E9:G9),E9:G9,0)</f>
        <v>1</v>
      </c>
    </row>
    <row r="10" spans="2:8" x14ac:dyDescent="0.3">
      <c r="B10" s="26" t="s">
        <v>89</v>
      </c>
      <c r="C10" s="26">
        <f t="shared" ref="C10:D11" ca="1" si="0">_xlfn.NORM.INV(RAND(),2,1)</f>
        <v>0.20358708819843252</v>
      </c>
      <c r="D10" s="26">
        <f t="shared" ca="1" si="0"/>
        <v>1.7306279611784432</v>
      </c>
      <c r="E10" s="26" cm="1">
        <f t="array" aca="1" ref="E10" ca="1">SUMSQ(C10:D10-C$5:D$5)</f>
        <v>1.1680907437400201</v>
      </c>
      <c r="F10" s="26" cm="1">
        <f t="array" aca="1" ref="F10" ca="1">SUMSQ(C10:D10-C$6:D$6)</f>
        <v>33.694370348725016</v>
      </c>
      <c r="G10" s="26" cm="1">
        <f t="array" aca="1" ref="G10" ca="1">SUMSQ(C10:D10-C$7:D$7)</f>
        <v>164.35221985495627</v>
      </c>
      <c r="H10" s="26">
        <f t="shared" ref="H10:H17" ca="1" si="1">MATCH(MIN(E10:G10),E10:G10,0)</f>
        <v>1</v>
      </c>
    </row>
    <row r="11" spans="2:8" x14ac:dyDescent="0.3">
      <c r="B11" s="26" t="s">
        <v>90</v>
      </c>
      <c r="C11" s="26">
        <f t="shared" ca="1" si="0"/>
        <v>0.680365499064985</v>
      </c>
      <c r="D11" s="26">
        <f t="shared" ca="1" si="0"/>
        <v>0.75394895359056302</v>
      </c>
      <c r="E11" s="26" cm="1">
        <f t="array" aca="1" ref="E11" ca="1">SUMSQ(C11:D11-C$5:D$5)</f>
        <v>0.16270733162715501</v>
      </c>
      <c r="F11" s="26" cm="1">
        <f t="array" aca="1" ref="F11" ca="1">SUMSQ(C11:D11-C$6:D$6)</f>
        <v>36.688191710382767</v>
      </c>
      <c r="G11" s="26" cm="1">
        <f t="array" aca="1" ref="G11" ca="1">SUMSQ(C11:D11-C$7:D$7)</f>
        <v>172.34504718382732</v>
      </c>
      <c r="H11" s="26">
        <f t="shared" ca="1" si="1"/>
        <v>1</v>
      </c>
    </row>
    <row r="12" spans="2:8" x14ac:dyDescent="0.3">
      <c r="B12" s="26" t="s">
        <v>91</v>
      </c>
      <c r="C12" s="26">
        <f ca="1">_xlfn.NORM.INV(RAND(),4,1)</f>
        <v>4.3642135903092454</v>
      </c>
      <c r="D12" s="26">
        <f ca="1">_xlfn.NORM.INV(RAND(),4,1)</f>
        <v>3.7010581246432155</v>
      </c>
      <c r="E12" s="26" cm="1">
        <f t="array" aca="1" ref="E12" ca="1">SUMSQ(C12:D12-C$5:D$5)</f>
        <v>18.613648073922548</v>
      </c>
      <c r="F12" s="26" cm="1">
        <f t="array" aca="1" ref="F12" ca="1">SUMSQ(C12:D12-C$6:D$6)</f>
        <v>2.0914743543028607</v>
      </c>
      <c r="G12" s="26" cm="1">
        <f t="array" aca="1" ref="G12" ca="1">SUMSQ(C12:D12-C$7:D$7)</f>
        <v>71.438757204778256</v>
      </c>
      <c r="H12" s="26">
        <f t="shared" ca="1" si="1"/>
        <v>2</v>
      </c>
    </row>
    <row r="13" spans="2:8" x14ac:dyDescent="0.3">
      <c r="B13" s="26" t="s">
        <v>92</v>
      </c>
      <c r="C13" s="26">
        <f t="shared" ref="C13:D14" ca="1" si="2">_xlfn.NORM.INV(RAND(),4,1)</f>
        <v>3.5180743622373747</v>
      </c>
      <c r="D13" s="26">
        <f t="shared" ca="1" si="2"/>
        <v>4.2710302476132709</v>
      </c>
      <c r="E13" s="26" cm="1">
        <f t="array" aca="1" ref="E13" ca="1">SUMSQ(C13:D13-C$5:D$5)</f>
        <v>17.040337374558099</v>
      </c>
      <c r="F13" s="26" cm="1">
        <f t="array" aca="1" ref="F13" ca="1">SUMSQ(C13:D13-C$6:D$6)</f>
        <v>2.727500495752933</v>
      </c>
      <c r="G13" s="26" cm="1">
        <f t="array" aca="1" ref="G13" ca="1">SUMSQ(C13:D13-C$7:D$7)</f>
        <v>74.836454397246484</v>
      </c>
      <c r="H13" s="26">
        <f t="shared" ca="1" si="1"/>
        <v>2</v>
      </c>
    </row>
    <row r="14" spans="2:8" x14ac:dyDescent="0.3">
      <c r="B14" s="26" t="s">
        <v>93</v>
      </c>
      <c r="C14" s="26">
        <f t="shared" ca="1" si="2"/>
        <v>4.2954204857135929</v>
      </c>
      <c r="D14" s="26">
        <f t="shared" ca="1" si="2"/>
        <v>4.2778050753765466</v>
      </c>
      <c r="E14" s="26" cm="1">
        <f t="array" aca="1" ref="E14" ca="1">SUMSQ(C14:D14-C$5:D$5)</f>
        <v>21.603802289825062</v>
      </c>
      <c r="F14" s="26" cm="1">
        <f t="array" aca="1" ref="F14" ca="1">SUMSQ(C14:D14-C$6:D$6)</f>
        <v>1.0179978011039448</v>
      </c>
      <c r="G14" s="26" cm="1">
        <f t="array" aca="1" ref="G14" ca="1">SUMSQ(C14:D14-C$7:D$7)</f>
        <v>65.285742190202541</v>
      </c>
      <c r="H14" s="26">
        <f t="shared" ca="1" si="1"/>
        <v>2</v>
      </c>
    </row>
    <row r="15" spans="2:8" x14ac:dyDescent="0.3">
      <c r="B15" s="26" t="s">
        <v>94</v>
      </c>
      <c r="C15" s="26">
        <f ca="1">_xlfn.NORM.INV(RAND(),8,1)</f>
        <v>10.065985857287606</v>
      </c>
      <c r="D15" s="26">
        <f ca="1">_xlfn.NORM.INV(RAND(),8,1)</f>
        <v>7.8114048961014131</v>
      </c>
      <c r="E15" s="26" cm="1">
        <f t="array" aca="1" ref="E15" ca="1">SUMSQ(C15:D15-C$5:D$5)</f>
        <v>128.58733622317317</v>
      </c>
      <c r="F15" s="26" cm="1">
        <f t="array" aca="1" ref="F15" ca="1">SUMSQ(C15:D15-C$6:D$6)</f>
        <v>33.568210196061031</v>
      </c>
      <c r="G15" s="26" cm="1">
        <f t="array" aca="1" ref="G15" ca="1">SUMSQ(C15:D15-C$7:D$7)</f>
        <v>4.7943026621708471</v>
      </c>
      <c r="H15" s="26">
        <f t="shared" ca="1" si="1"/>
        <v>3</v>
      </c>
    </row>
    <row r="16" spans="2:8" x14ac:dyDescent="0.3">
      <c r="B16" s="26" t="s">
        <v>95</v>
      </c>
      <c r="C16" s="26">
        <f t="shared" ref="C16:D17" ca="1" si="3">_xlfn.NORM.INV(RAND(),8,1)</f>
        <v>8.2888040056621399</v>
      </c>
      <c r="D16" s="26">
        <f t="shared" ca="1" si="3"/>
        <v>7.1419077490194844</v>
      </c>
      <c r="E16" s="26" cm="1">
        <f t="array" aca="1" ref="E16" ca="1">SUMSQ(C16:D16-C$5:D$5)</f>
        <v>90.84969463042205</v>
      </c>
      <c r="F16" s="26" cm="1">
        <f t="array" aca="1" ref="F16" ca="1">SUMSQ(C16:D16-C$6:D$6)</f>
        <v>15.404000592969052</v>
      </c>
      <c r="G16" s="26" cm="1">
        <f t="array" aca="1" ref="G16" ca="1">SUMSQ(C16:D16-C$7:D$7)</f>
        <v>11.096883046152808</v>
      </c>
      <c r="H16" s="26">
        <f t="shared" ca="1" si="1"/>
        <v>3</v>
      </c>
    </row>
    <row r="17" spans="1:8" x14ac:dyDescent="0.3">
      <c r="B17" s="26" t="s">
        <v>96</v>
      </c>
      <c r="C17" s="26">
        <f t="shared" ca="1" si="3"/>
        <v>6.2821127885676598</v>
      </c>
      <c r="D17" s="26">
        <f t="shared" ca="1" si="3"/>
        <v>7.4647495738350393</v>
      </c>
      <c r="E17" s="26" cm="1">
        <f t="array" aca="1" ref="E17" ca="1">SUMSQ(C17:D17-C$5:D$5)</f>
        <v>69.693702563550346</v>
      </c>
      <c r="F17" s="26" cm="1">
        <f t="array" aca="1" ref="F17" ca="1">SUMSQ(C17:D17-C$6:D$6)</f>
        <v>7.7188036643287479</v>
      </c>
      <c r="G17" s="26" cm="1">
        <f t="array" aca="1" ref="G17" ca="1">SUMSQ(C17:D17-C$7:D$7)</f>
        <v>20.250180040301757</v>
      </c>
      <c r="H17" s="26">
        <f t="shared" ca="1" si="1"/>
        <v>2</v>
      </c>
    </row>
    <row r="19" spans="1:8" x14ac:dyDescent="0.3">
      <c r="A19" s="26">
        <v>1</v>
      </c>
      <c r="B19" s="28" t="s">
        <v>85</v>
      </c>
      <c r="C19" s="26">
        <f ca="1">AVERAGEIF($H$9:$H$17,A19,$C$9:$C$17)</f>
        <v>0.31518544977908497</v>
      </c>
      <c r="D19" s="26">
        <f ca="1">AVERAGEIF($H$9:$H$17,A19,$D$9:$D$17)</f>
        <v>1.6246434694766494</v>
      </c>
    </row>
    <row r="20" spans="1:8" x14ac:dyDescent="0.3">
      <c r="A20" s="26">
        <v>2</v>
      </c>
      <c r="B20" s="28" t="s">
        <v>86</v>
      </c>
      <c r="C20" s="26">
        <f ca="1">AVERAGEIF($H$9:$H$17,A20,$C$9:$C$17)</f>
        <v>4.6149553067069684</v>
      </c>
      <c r="D20" s="26">
        <f ca="1">AVERAGEIF($H$9:$H$17,A20,$D$9:$D$17)</f>
        <v>4.9286607553670176</v>
      </c>
    </row>
    <row r="21" spans="1:8" x14ac:dyDescent="0.3">
      <c r="A21" s="26">
        <v>3</v>
      </c>
      <c r="B21" s="28" t="s">
        <v>87</v>
      </c>
      <c r="C21" s="26">
        <f ca="1">AVERAGEIF($H$9:$H$17,A21,$C$9:$C$17)</f>
        <v>9.177394931474872</v>
      </c>
      <c r="D21" s="26">
        <f ca="1">AVERAGEIF($H$9:$H$17,A21,$D$9:$D$17)</f>
        <v>7.4766563225604488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328</v>
      </c>
    </row>
    <row r="2" spans="1:1" x14ac:dyDescent="0.3">
      <c r="A2" s="124" t="s">
        <v>329</v>
      </c>
    </row>
    <row r="3" spans="1:1" x14ac:dyDescent="0.3">
      <c r="A3" s="124" t="s">
        <v>330</v>
      </c>
    </row>
    <row r="4" spans="1:1" x14ac:dyDescent="0.3">
      <c r="A4" s="124" t="s">
        <v>331</v>
      </c>
    </row>
    <row r="5" spans="1:1" x14ac:dyDescent="0.3">
      <c r="A5" s="124" t="s">
        <v>332</v>
      </c>
    </row>
    <row r="6" spans="1:1" x14ac:dyDescent="0.3">
      <c r="A6" s="124" t="s">
        <v>333</v>
      </c>
    </row>
    <row r="7" spans="1:1" x14ac:dyDescent="0.3">
      <c r="A7" s="124" t="s">
        <v>334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2:C32"/>
  <sheetViews>
    <sheetView workbookViewId="0"/>
  </sheetViews>
  <sheetFormatPr baseColWidth="10" defaultRowHeight="19" x14ac:dyDescent="0.25"/>
  <cols>
    <col min="1" max="16384" width="10.83203125" style="50"/>
  </cols>
  <sheetData>
    <row r="2" spans="1:3" x14ac:dyDescent="0.25">
      <c r="B2" s="50" t="s">
        <v>163</v>
      </c>
      <c r="C2" s="50" t="s">
        <v>16</v>
      </c>
    </row>
    <row r="3" spans="1:3" x14ac:dyDescent="0.25">
      <c r="A3" s="50">
        <v>1</v>
      </c>
      <c r="B3" s="50">
        <v>0.20943951023931953</v>
      </c>
      <c r="C3" s="50">
        <v>-1.0584942919841807</v>
      </c>
    </row>
    <row r="4" spans="1:3" x14ac:dyDescent="0.25">
      <c r="A4" s="50">
        <v>2</v>
      </c>
      <c r="B4" s="50">
        <v>0.41887902047863906</v>
      </c>
      <c r="C4" s="50">
        <v>-1.0115837814668849</v>
      </c>
    </row>
    <row r="5" spans="1:3" x14ac:dyDescent="0.25">
      <c r="A5" s="50">
        <v>3</v>
      </c>
      <c r="B5" s="50">
        <v>0.62831853071795862</v>
      </c>
      <c r="C5" s="50">
        <v>-0.67059413777823096</v>
      </c>
    </row>
    <row r="6" spans="1:3" x14ac:dyDescent="0.25">
      <c r="A6" s="50">
        <v>4</v>
      </c>
      <c r="B6" s="50">
        <v>0.83775804095727813</v>
      </c>
      <c r="C6" s="50">
        <v>-7.8907528339460575E-2</v>
      </c>
    </row>
    <row r="7" spans="1:3" x14ac:dyDescent="0.25">
      <c r="A7" s="50">
        <v>5</v>
      </c>
      <c r="B7" s="50">
        <v>1.0471975511965976</v>
      </c>
      <c r="C7" s="50">
        <v>0.19372967770232674</v>
      </c>
    </row>
    <row r="8" spans="1:3" x14ac:dyDescent="0.25">
      <c r="A8" s="50">
        <v>6</v>
      </c>
      <c r="B8" s="50">
        <v>1.2566370614359172</v>
      </c>
      <c r="C8" s="50">
        <v>0.71211759028393917</v>
      </c>
    </row>
    <row r="9" spans="1:3" x14ac:dyDescent="0.25">
      <c r="A9" s="50">
        <v>7</v>
      </c>
      <c r="B9" s="50">
        <v>1.4660765716752369</v>
      </c>
      <c r="C9" s="50">
        <v>0.46458641028249809</v>
      </c>
    </row>
    <row r="10" spans="1:3" x14ac:dyDescent="0.25">
      <c r="A10" s="50">
        <v>8</v>
      </c>
      <c r="B10" s="50">
        <v>1.6755160819145563</v>
      </c>
      <c r="C10" s="50">
        <v>1.0904375200021745</v>
      </c>
    </row>
    <row r="11" spans="1:3" x14ac:dyDescent="0.25">
      <c r="A11" s="50">
        <v>9</v>
      </c>
      <c r="B11" s="50">
        <v>1.8849555921538759</v>
      </c>
      <c r="C11" s="50">
        <v>0.73460352450894062</v>
      </c>
    </row>
    <row r="12" spans="1:3" x14ac:dyDescent="0.25">
      <c r="A12" s="50">
        <v>10</v>
      </c>
      <c r="B12" s="50">
        <v>2.0943951023931953</v>
      </c>
      <c r="C12" s="50">
        <v>0.65405740699127635</v>
      </c>
    </row>
    <row r="13" spans="1:3" x14ac:dyDescent="0.25">
      <c r="A13" s="50">
        <v>11</v>
      </c>
      <c r="B13" s="50">
        <v>2.3038346126325147</v>
      </c>
      <c r="C13" s="50">
        <v>0.57004534084851322</v>
      </c>
    </row>
    <row r="14" spans="1:3" x14ac:dyDescent="0.25">
      <c r="A14" s="50">
        <v>12</v>
      </c>
      <c r="B14" s="50">
        <v>2.5132741228718345</v>
      </c>
      <c r="C14" s="50">
        <v>-0.15194780570688993</v>
      </c>
    </row>
    <row r="15" spans="1:3" x14ac:dyDescent="0.25">
      <c r="A15" s="50">
        <v>13</v>
      </c>
      <c r="B15" s="50">
        <v>2.7227136331111543</v>
      </c>
      <c r="C15" s="50">
        <v>4.9191643383140769E-2</v>
      </c>
    </row>
    <row r="16" spans="1:3" x14ac:dyDescent="0.25">
      <c r="A16" s="50">
        <v>14</v>
      </c>
      <c r="B16" s="50">
        <v>2.9321531433504737</v>
      </c>
      <c r="C16" s="50">
        <v>-0.23766540139636769</v>
      </c>
    </row>
    <row r="17" spans="1:3" x14ac:dyDescent="0.25">
      <c r="A17" s="50">
        <v>15</v>
      </c>
      <c r="B17" s="50">
        <v>3.1415926535897927</v>
      </c>
      <c r="C17" s="50">
        <v>7.2641248128490127E-2</v>
      </c>
    </row>
    <row r="18" spans="1:3" x14ac:dyDescent="0.25">
      <c r="A18" s="50">
        <v>16</v>
      </c>
      <c r="B18" s="50">
        <v>3.3510321638291125</v>
      </c>
      <c r="C18" s="50">
        <v>2.1344472249498331E-2</v>
      </c>
    </row>
    <row r="19" spans="1:3" x14ac:dyDescent="0.25">
      <c r="A19" s="50">
        <v>17</v>
      </c>
      <c r="B19" s="50">
        <v>3.5604716740684323</v>
      </c>
      <c r="C19" s="50">
        <v>4.3416060207188134E-4</v>
      </c>
    </row>
    <row r="20" spans="1:3" x14ac:dyDescent="0.25">
      <c r="A20" s="50">
        <v>18</v>
      </c>
      <c r="B20" s="50">
        <v>3.7699111843077517</v>
      </c>
      <c r="C20" s="50">
        <v>-0.48127635421609938</v>
      </c>
    </row>
    <row r="21" spans="1:3" x14ac:dyDescent="0.25">
      <c r="A21" s="50">
        <v>19</v>
      </c>
      <c r="B21" s="50">
        <v>3.9793506945470711</v>
      </c>
      <c r="C21" s="50">
        <v>-0.33927941399176736</v>
      </c>
    </row>
    <row r="22" spans="1:3" x14ac:dyDescent="0.25">
      <c r="A22" s="50">
        <v>20</v>
      </c>
      <c r="B22" s="50">
        <v>4.1887902047863905</v>
      </c>
      <c r="C22" s="50">
        <v>-0.66663393104980051</v>
      </c>
    </row>
    <row r="23" spans="1:3" x14ac:dyDescent="0.25">
      <c r="A23" s="50">
        <v>21</v>
      </c>
      <c r="B23" s="50">
        <v>4.3982297150257104</v>
      </c>
      <c r="C23" s="50">
        <v>-0.82049127729304749</v>
      </c>
    </row>
    <row r="24" spans="1:3" x14ac:dyDescent="0.25">
      <c r="A24" s="50">
        <v>22</v>
      </c>
      <c r="B24" s="50">
        <v>4.6076692252650293</v>
      </c>
      <c r="C24" s="50">
        <v>-0.93606956280844389</v>
      </c>
    </row>
    <row r="25" spans="1:3" x14ac:dyDescent="0.25">
      <c r="A25" s="50">
        <v>23</v>
      </c>
      <c r="B25" s="50">
        <v>4.8171087355043491</v>
      </c>
      <c r="C25" s="50">
        <v>-0.70020245579705642</v>
      </c>
    </row>
    <row r="26" spans="1:3" x14ac:dyDescent="0.25">
      <c r="A26" s="50">
        <v>24</v>
      </c>
      <c r="B26" s="50">
        <v>5.026548245743669</v>
      </c>
      <c r="C26" s="50">
        <v>-0.48320257654754589</v>
      </c>
    </row>
    <row r="27" spans="1:3" x14ac:dyDescent="0.25">
      <c r="A27" s="50">
        <v>25</v>
      </c>
      <c r="B27" s="50">
        <v>5.2359877559829888</v>
      </c>
      <c r="C27" s="50">
        <v>2.507130588071016E-2</v>
      </c>
    </row>
    <row r="28" spans="1:3" x14ac:dyDescent="0.25">
      <c r="A28" s="50">
        <v>26</v>
      </c>
      <c r="B28" s="50">
        <v>5.4454272662223087</v>
      </c>
      <c r="C28" s="50">
        <v>0.14363276847356277</v>
      </c>
    </row>
    <row r="29" spans="1:3" x14ac:dyDescent="0.25">
      <c r="A29" s="50">
        <v>27</v>
      </c>
      <c r="B29" s="50">
        <v>5.6548667764616276</v>
      </c>
      <c r="C29" s="50">
        <v>0.25366487237671459</v>
      </c>
    </row>
    <row r="30" spans="1:3" x14ac:dyDescent="0.25">
      <c r="A30" s="50">
        <v>28</v>
      </c>
      <c r="B30" s="50">
        <v>5.8643062867009474</v>
      </c>
      <c r="C30" s="50">
        <v>1.2946583886008181</v>
      </c>
    </row>
    <row r="31" spans="1:3" x14ac:dyDescent="0.25">
      <c r="A31" s="50">
        <v>29</v>
      </c>
      <c r="B31" s="50">
        <v>6.0737457969402673</v>
      </c>
      <c r="C31" s="50">
        <v>1.2745794914650472</v>
      </c>
    </row>
    <row r="32" spans="1:3" x14ac:dyDescent="0.25">
      <c r="A32" s="50">
        <v>30</v>
      </c>
      <c r="B32" s="50">
        <v>6.2831853071795853</v>
      </c>
      <c r="C32" s="50">
        <v>1.3982376248155151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x14ac:dyDescent="0.25">
      <c r="B2" s="50" t="s">
        <v>163</v>
      </c>
      <c r="C2" s="50" t="s">
        <v>15</v>
      </c>
      <c r="D2" s="50" t="s">
        <v>17</v>
      </c>
      <c r="E2" s="50" t="s">
        <v>16</v>
      </c>
      <c r="F2" s="50" t="s">
        <v>14</v>
      </c>
    </row>
    <row r="3" spans="1:10" x14ac:dyDescent="0.25">
      <c r="A3" s="50">
        <v>1</v>
      </c>
      <c r="B3" s="50">
        <v>0.20943951023931953</v>
      </c>
      <c r="C3" s="50">
        <f t="shared" ref="C3:C32" si="0">B3^2</f>
        <v>4.3864908449286033E-2</v>
      </c>
      <c r="D3" s="50">
        <f t="shared" ref="D3:D32" si="1">B3^3</f>
        <v>9.1870449423110557E-3</v>
      </c>
      <c r="E3" s="50">
        <v>-1.0584942919841807</v>
      </c>
      <c r="F3" s="50" cm="1">
        <f t="array" ref="F3:F32">TREND(E3:E32,B3:D32,B3:D32,1)</f>
        <v>-1.2888007502634404</v>
      </c>
      <c r="G3" s="50" cm="1">
        <f t="array" ref="G3:J7">LINEST(E3:E32,B3:D32,1,1)</f>
        <v>0.13072680831182865</v>
      </c>
      <c r="H3" s="50">
        <v>-1.2322254546610762</v>
      </c>
      <c r="I3" s="50">
        <v>3.1805413197669328</v>
      </c>
      <c r="J3" s="50">
        <v>-1.9020813028768835</v>
      </c>
    </row>
    <row r="4" spans="1:10" x14ac:dyDescent="0.25">
      <c r="A4" s="50">
        <v>2</v>
      </c>
      <c r="B4" s="50">
        <v>0.41887902047863906</v>
      </c>
      <c r="C4" s="50">
        <f t="shared" si="0"/>
        <v>0.17545963379714413</v>
      </c>
      <c r="D4" s="50">
        <f t="shared" si="1"/>
        <v>7.3496359538488445E-2</v>
      </c>
      <c r="E4" s="50">
        <v>-1.0115837814668849</v>
      </c>
      <c r="F4" s="50">
        <v>-0.77641715278641943</v>
      </c>
      <c r="G4" s="50">
        <v>1.0984176298449744E-2</v>
      </c>
      <c r="H4" s="50">
        <v>0.10838182968397431</v>
      </c>
      <c r="I4" s="50">
        <v>0.3054826840308264</v>
      </c>
      <c r="J4" s="50">
        <v>0.23282406038839545</v>
      </c>
    </row>
    <row r="5" spans="1:10" x14ac:dyDescent="0.25">
      <c r="A5" s="50">
        <v>3</v>
      </c>
      <c r="B5" s="50">
        <v>0.62831853071795862</v>
      </c>
      <c r="C5" s="50">
        <f t="shared" si="0"/>
        <v>0.3947841760435743</v>
      </c>
      <c r="D5" s="50">
        <f t="shared" si="1"/>
        <v>0.24805021344239853</v>
      </c>
      <c r="E5" s="50">
        <v>-0.67059413777823096</v>
      </c>
      <c r="F5" s="50">
        <v>-0.35772455206706644</v>
      </c>
      <c r="G5" s="50">
        <v>0.85739799271598294</v>
      </c>
      <c r="H5" s="50">
        <v>0.27983217634102292</v>
      </c>
      <c r="I5" s="50" t="e">
        <v>#N/A</v>
      </c>
      <c r="J5" s="50" t="e">
        <v>#N/A</v>
      </c>
    </row>
    <row r="6" spans="1:10" x14ac:dyDescent="0.25">
      <c r="A6" s="50">
        <v>4</v>
      </c>
      <c r="B6" s="50">
        <v>0.83775804095727813</v>
      </c>
      <c r="C6" s="50">
        <f t="shared" si="0"/>
        <v>0.70183853518857653</v>
      </c>
      <c r="D6" s="50">
        <f t="shared" si="1"/>
        <v>0.58797087630790756</v>
      </c>
      <c r="E6" s="50">
        <v>-7.8907528339460575E-2</v>
      </c>
      <c r="F6" s="50">
        <v>-2.5516989726627637E-2</v>
      </c>
      <c r="G6" s="50">
        <v>52.108541422834264</v>
      </c>
      <c r="H6" s="50">
        <v>26</v>
      </c>
      <c r="I6" s="50" t="e">
        <v>#N/A</v>
      </c>
      <c r="J6" s="50" t="e">
        <v>#N/A</v>
      </c>
    </row>
    <row r="7" spans="1:10" x14ac:dyDescent="0.25">
      <c r="A7" s="50">
        <v>5</v>
      </c>
      <c r="B7" s="50">
        <v>1.0471975511965976</v>
      </c>
      <c r="C7" s="50">
        <f t="shared" si="0"/>
        <v>1.0966227112321507</v>
      </c>
      <c r="D7" s="50">
        <f t="shared" si="1"/>
        <v>1.1483806177888818</v>
      </c>
      <c r="E7" s="50">
        <v>0.19372967770232674</v>
      </c>
      <c r="F7" s="50">
        <v>0.22741149261365079</v>
      </c>
      <c r="G7" s="50">
        <v>12.241241668103809</v>
      </c>
      <c r="H7" s="50">
        <v>2.0359572198095872</v>
      </c>
      <c r="I7" s="50" t="e">
        <v>#N/A</v>
      </c>
      <c r="J7" s="50" t="e">
        <v>#N/A</v>
      </c>
    </row>
    <row r="8" spans="1:10" x14ac:dyDescent="0.25">
      <c r="A8" s="50">
        <v>6</v>
      </c>
      <c r="B8" s="50">
        <v>1.2566370614359172</v>
      </c>
      <c r="C8" s="50">
        <f t="shared" si="0"/>
        <v>1.5791367041742972</v>
      </c>
      <c r="D8" s="50">
        <f t="shared" si="1"/>
        <v>1.9844017075391882</v>
      </c>
      <c r="E8" s="50">
        <v>0.71211759028393917</v>
      </c>
      <c r="F8" s="50">
        <v>0.40826685333252311</v>
      </c>
    </row>
    <row r="9" spans="1:10" x14ac:dyDescent="0.25">
      <c r="A9" s="50">
        <v>7</v>
      </c>
      <c r="B9" s="50">
        <v>1.4660765716752369</v>
      </c>
      <c r="C9" s="50">
        <f t="shared" si="0"/>
        <v>2.1493805140150157</v>
      </c>
      <c r="D9" s="50">
        <f t="shared" si="1"/>
        <v>3.1511564152126925</v>
      </c>
      <c r="E9" s="50">
        <v>0.46458641028249809</v>
      </c>
      <c r="F9" s="50">
        <v>0.52425505080874224</v>
      </c>
    </row>
    <row r="10" spans="1:10" x14ac:dyDescent="0.25">
      <c r="A10" s="50">
        <v>8</v>
      </c>
      <c r="B10" s="50">
        <v>1.6755160819145563</v>
      </c>
      <c r="C10" s="50">
        <f t="shared" si="0"/>
        <v>2.8073541407543061</v>
      </c>
      <c r="D10" s="50">
        <f t="shared" si="1"/>
        <v>4.7037670104632605</v>
      </c>
      <c r="E10" s="50">
        <v>1.0904375200021745</v>
      </c>
      <c r="F10" s="50">
        <v>0.58258204342106357</v>
      </c>
    </row>
    <row r="11" spans="1:10" x14ac:dyDescent="0.25">
      <c r="A11" s="50">
        <v>9</v>
      </c>
      <c r="B11" s="50">
        <v>1.8849555921538759</v>
      </c>
      <c r="C11" s="50">
        <f t="shared" si="0"/>
        <v>3.5530575843921688</v>
      </c>
      <c r="D11" s="50">
        <f t="shared" si="1"/>
        <v>6.6973557629447606</v>
      </c>
      <c r="E11" s="50">
        <v>0.73460352450894062</v>
      </c>
      <c r="F11" s="50">
        <v>0.59045378954824024</v>
      </c>
    </row>
    <row r="12" spans="1:10" x14ac:dyDescent="0.25">
      <c r="A12" s="50">
        <v>10</v>
      </c>
      <c r="B12" s="50">
        <v>2.0943951023931953</v>
      </c>
      <c r="C12" s="50">
        <f t="shared" si="0"/>
        <v>4.3864908449286029</v>
      </c>
      <c r="D12" s="50">
        <f t="shared" si="1"/>
        <v>9.1870449423110543</v>
      </c>
      <c r="E12" s="50">
        <v>0.65405740699127635</v>
      </c>
      <c r="F12" s="50">
        <v>0.5550762475690254</v>
      </c>
    </row>
    <row r="13" spans="1:10" x14ac:dyDescent="0.25">
      <c r="A13" s="50">
        <v>11</v>
      </c>
      <c r="B13" s="50">
        <v>2.3038346126325147</v>
      </c>
      <c r="C13" s="50">
        <f t="shared" si="0"/>
        <v>5.3076539223636088</v>
      </c>
      <c r="D13" s="50">
        <f t="shared" si="1"/>
        <v>12.227956818216011</v>
      </c>
      <c r="E13" s="50">
        <v>0.57004534084851322</v>
      </c>
      <c r="F13" s="50">
        <v>0.48365537586217577</v>
      </c>
    </row>
    <row r="14" spans="1:10" x14ac:dyDescent="0.25">
      <c r="A14" s="50">
        <v>12</v>
      </c>
      <c r="B14" s="50">
        <v>2.5132741228718345</v>
      </c>
      <c r="C14" s="50">
        <f t="shared" si="0"/>
        <v>6.3165468166971888</v>
      </c>
      <c r="D14" s="50">
        <f t="shared" si="1"/>
        <v>15.875213660313506</v>
      </c>
      <c r="E14" s="50">
        <v>-0.15194780570688993</v>
      </c>
      <c r="F14" s="50">
        <v>0.38339713280644183</v>
      </c>
    </row>
    <row r="15" spans="1:10" x14ac:dyDescent="0.25">
      <c r="A15" s="50">
        <v>13</v>
      </c>
      <c r="B15" s="50">
        <v>2.7227136331111543</v>
      </c>
      <c r="C15" s="50">
        <f t="shared" si="0"/>
        <v>7.4131695279293419</v>
      </c>
      <c r="D15" s="50">
        <f t="shared" si="1"/>
        <v>20.183937738257399</v>
      </c>
      <c r="E15" s="50">
        <v>4.9191643383140769E-2</v>
      </c>
      <c r="F15" s="50">
        <v>0.26150747678057851</v>
      </c>
    </row>
    <row r="16" spans="1:10" x14ac:dyDescent="0.25">
      <c r="A16" s="50">
        <v>14</v>
      </c>
      <c r="B16" s="50">
        <v>2.9321531433504737</v>
      </c>
      <c r="C16" s="50">
        <f t="shared" si="0"/>
        <v>8.5975220560600629</v>
      </c>
      <c r="D16" s="50">
        <f t="shared" si="1"/>
        <v>25.20925132170154</v>
      </c>
      <c r="E16" s="50">
        <v>-0.23766540139636769</v>
      </c>
      <c r="F16" s="50">
        <v>0.12519236616333984</v>
      </c>
    </row>
    <row r="17" spans="1:6" x14ac:dyDescent="0.25">
      <c r="A17" s="50">
        <v>15</v>
      </c>
      <c r="B17" s="50">
        <v>3.1415926535897927</v>
      </c>
      <c r="C17" s="50">
        <f t="shared" si="0"/>
        <v>9.8696044010893544</v>
      </c>
      <c r="D17" s="50">
        <f t="shared" si="1"/>
        <v>31.006276680299802</v>
      </c>
      <c r="E17" s="50">
        <v>7.2641248128490127E-2</v>
      </c>
      <c r="F17" s="50">
        <v>-1.8342240666517462E-2</v>
      </c>
    </row>
    <row r="18" spans="1:6" x14ac:dyDescent="0.25">
      <c r="A18" s="50">
        <v>16</v>
      </c>
      <c r="B18" s="50">
        <v>3.3510321638291125</v>
      </c>
      <c r="C18" s="50">
        <f t="shared" si="0"/>
        <v>11.229416563017224</v>
      </c>
      <c r="D18" s="50">
        <f t="shared" si="1"/>
        <v>37.630136083706084</v>
      </c>
      <c r="E18" s="50">
        <v>2.1344472249498331E-2</v>
      </c>
      <c r="F18" s="50">
        <v>-0.16189038533024558</v>
      </c>
    </row>
    <row r="19" spans="1:6" x14ac:dyDescent="0.25">
      <c r="A19" s="50">
        <v>17</v>
      </c>
      <c r="B19" s="50">
        <v>3.5604716740684323</v>
      </c>
      <c r="C19" s="50">
        <f t="shared" si="0"/>
        <v>12.676958541843666</v>
      </c>
      <c r="D19" s="50">
        <f t="shared" si="1"/>
        <v>45.13595180157423</v>
      </c>
      <c r="E19" s="50">
        <v>4.3416060207188134E-4</v>
      </c>
      <c r="F19" s="50">
        <v>-0.29824610944908514</v>
      </c>
    </row>
    <row r="20" spans="1:6" x14ac:dyDescent="0.25">
      <c r="A20" s="50">
        <v>18</v>
      </c>
      <c r="B20" s="50">
        <v>3.7699111843077517</v>
      </c>
      <c r="C20" s="50">
        <f t="shared" si="0"/>
        <v>14.212230337568675</v>
      </c>
      <c r="D20" s="50">
        <f t="shared" si="1"/>
        <v>53.578846103558085</v>
      </c>
      <c r="E20" s="50">
        <v>-0.48127635421609938</v>
      </c>
      <c r="F20" s="50">
        <v>-0.4202034546442821</v>
      </c>
    </row>
    <row r="21" spans="1:6" x14ac:dyDescent="0.25">
      <c r="A21" s="50">
        <v>19</v>
      </c>
      <c r="B21" s="50">
        <v>3.9793506945470711</v>
      </c>
      <c r="C21" s="50">
        <f t="shared" si="0"/>
        <v>15.835231950192258</v>
      </c>
      <c r="D21" s="50">
        <f t="shared" si="1"/>
        <v>63.01394125931153</v>
      </c>
      <c r="E21" s="50">
        <v>-0.33927941399176736</v>
      </c>
      <c r="F21" s="50">
        <v>-0.52055646253708687</v>
      </c>
    </row>
    <row r="22" spans="1:6" x14ac:dyDescent="0.25">
      <c r="A22" s="50">
        <v>20</v>
      </c>
      <c r="B22" s="50">
        <v>4.1887902047863905</v>
      </c>
      <c r="C22" s="50">
        <f t="shared" si="0"/>
        <v>17.545963379714411</v>
      </c>
      <c r="D22" s="50">
        <f t="shared" si="1"/>
        <v>73.496359538488434</v>
      </c>
      <c r="E22" s="50">
        <v>-0.66663393104980051</v>
      </c>
      <c r="F22" s="50">
        <v>-0.59209917474874629</v>
      </c>
    </row>
    <row r="23" spans="1:6" x14ac:dyDescent="0.25">
      <c r="A23" s="50">
        <v>21</v>
      </c>
      <c r="B23" s="50">
        <v>4.3982297150257104</v>
      </c>
      <c r="C23" s="50">
        <f t="shared" si="0"/>
        <v>19.34442462613514</v>
      </c>
      <c r="D23" s="50">
        <f t="shared" si="1"/>
        <v>85.081223210742692</v>
      </c>
      <c r="E23" s="50">
        <v>-0.82049127729304749</v>
      </c>
      <c r="F23" s="50">
        <v>-0.62762563290049656</v>
      </c>
    </row>
    <row r="24" spans="1:6" x14ac:dyDescent="0.25">
      <c r="A24" s="50">
        <v>22</v>
      </c>
      <c r="B24" s="50">
        <v>4.6076692252650293</v>
      </c>
      <c r="C24" s="50">
        <f t="shared" si="0"/>
        <v>21.230615689454435</v>
      </c>
      <c r="D24" s="50">
        <f t="shared" si="1"/>
        <v>97.82365454572809</v>
      </c>
      <c r="E24" s="50">
        <v>-0.93606956280844389</v>
      </c>
      <c r="F24" s="50">
        <v>-0.61992987861359516</v>
      </c>
    </row>
    <row r="25" spans="1:6" x14ac:dyDescent="0.25">
      <c r="A25" s="50">
        <v>23</v>
      </c>
      <c r="B25" s="50">
        <v>4.8171087355043491</v>
      </c>
      <c r="C25" s="50">
        <f t="shared" si="0"/>
        <v>23.20453656967231</v>
      </c>
      <c r="D25" s="50">
        <f t="shared" si="1"/>
        <v>111.7787758130986</v>
      </c>
      <c r="E25" s="50">
        <v>-0.70020245579705642</v>
      </c>
      <c r="F25" s="50">
        <v>-0.56180595350928364</v>
      </c>
    </row>
    <row r="26" spans="1:6" x14ac:dyDescent="0.25">
      <c r="A26" s="50">
        <v>24</v>
      </c>
      <c r="B26" s="50">
        <v>5.026548245743669</v>
      </c>
      <c r="C26" s="50">
        <f t="shared" si="0"/>
        <v>25.266187266788755</v>
      </c>
      <c r="D26" s="50">
        <f t="shared" si="1"/>
        <v>127.00170928250805</v>
      </c>
      <c r="E26" s="50">
        <v>-0.48320257654754589</v>
      </c>
      <c r="F26" s="50">
        <v>-0.4460478992088035</v>
      </c>
    </row>
    <row r="27" spans="1:6" x14ac:dyDescent="0.25">
      <c r="A27" s="50">
        <v>25</v>
      </c>
      <c r="B27" s="50">
        <v>5.2359877559829888</v>
      </c>
      <c r="C27" s="50">
        <f t="shared" si="0"/>
        <v>27.415567780803777</v>
      </c>
      <c r="D27" s="50">
        <f t="shared" si="1"/>
        <v>143.54757722361029</v>
      </c>
      <c r="E27" s="50">
        <v>2.507130588071016E-2</v>
      </c>
      <c r="F27" s="50">
        <v>-0.26544975733341403</v>
      </c>
    </row>
    <row r="28" spans="1:6" x14ac:dyDescent="0.25">
      <c r="A28" s="50">
        <v>26</v>
      </c>
      <c r="B28" s="50">
        <v>5.4454272662223087</v>
      </c>
      <c r="C28" s="50">
        <f t="shared" si="0"/>
        <v>29.652678111717368</v>
      </c>
      <c r="D28" s="50">
        <f t="shared" si="1"/>
        <v>161.47150190605919</v>
      </c>
      <c r="E28" s="50">
        <v>0.14363276847356277</v>
      </c>
      <c r="F28" s="50">
        <v>-1.2805569504340752E-2</v>
      </c>
    </row>
    <row r="29" spans="1:6" x14ac:dyDescent="0.25">
      <c r="A29" s="50">
        <v>27</v>
      </c>
      <c r="B29" s="50">
        <v>5.6548667764616276</v>
      </c>
      <c r="C29" s="50">
        <f t="shared" si="0"/>
        <v>31.977518259529518</v>
      </c>
      <c r="D29" s="50">
        <f t="shared" si="1"/>
        <v>180.82860559950853</v>
      </c>
      <c r="E29" s="50">
        <v>0.25366487237671459</v>
      </c>
      <c r="F29" s="50">
        <v>0.31909062265715349</v>
      </c>
    </row>
    <row r="30" spans="1:6" x14ac:dyDescent="0.25">
      <c r="A30" s="50">
        <v>28</v>
      </c>
      <c r="B30" s="50">
        <v>5.8643062867009474</v>
      </c>
      <c r="C30" s="50">
        <f t="shared" si="0"/>
        <v>34.390088224240252</v>
      </c>
      <c r="D30" s="50">
        <f t="shared" si="1"/>
        <v>201.67401057361232</v>
      </c>
      <c r="E30" s="50">
        <v>1.2946583886008181</v>
      </c>
      <c r="F30" s="50">
        <v>0.73744477752982007</v>
      </c>
    </row>
    <row r="31" spans="1:6" x14ac:dyDescent="0.25">
      <c r="A31" s="50">
        <v>29</v>
      </c>
      <c r="B31" s="50">
        <v>6.0737457969402673</v>
      </c>
      <c r="C31" s="50">
        <f t="shared" si="0"/>
        <v>36.890388005849566</v>
      </c>
      <c r="D31" s="50">
        <f t="shared" si="1"/>
        <v>224.06283909802445</v>
      </c>
      <c r="E31" s="50">
        <v>1.2745794914650472</v>
      </c>
      <c r="F31" s="50">
        <v>1.2494628534924281</v>
      </c>
    </row>
    <row r="32" spans="1:6" x14ac:dyDescent="0.25">
      <c r="A32" s="50">
        <v>30</v>
      </c>
      <c r="B32" s="50">
        <v>6.2831853071795853</v>
      </c>
      <c r="C32" s="50">
        <f t="shared" si="0"/>
        <v>39.478417604357418</v>
      </c>
      <c r="D32" s="50">
        <f t="shared" si="1"/>
        <v>248.05021344239842</v>
      </c>
      <c r="E32" s="50">
        <v>1.3982376248155151</v>
      </c>
      <c r="F32" s="50">
        <v>1.8623508089237184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50"/>
  </cols>
  <sheetData>
    <row r="2" spans="1:7" s="51" customFormat="1" x14ac:dyDescent="0.25">
      <c r="B2" s="51" t="s">
        <v>163</v>
      </c>
      <c r="C2" s="51" t="s">
        <v>166</v>
      </c>
      <c r="D2" s="51" t="s">
        <v>165</v>
      </c>
      <c r="E2" s="51" t="s">
        <v>164</v>
      </c>
      <c r="F2" s="51" t="s">
        <v>16</v>
      </c>
      <c r="G2" s="51" t="s">
        <v>14</v>
      </c>
    </row>
    <row r="3" spans="1: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-1.0584942919841807</v>
      </c>
      <c r="G3" s="50" cm="1">
        <f t="array" ref="G3:G32">TREND(F3:F32,C3:E32,C3:E32,FALSE)</f>
        <v>0.10299523902023984</v>
      </c>
    </row>
    <row r="4" spans="1: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-1.0115837814668849</v>
      </c>
      <c r="G4" s="50">
        <v>0.10299523902023984</v>
      </c>
    </row>
    <row r="5" spans="1: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-0.67059413777823096</v>
      </c>
      <c r="G5" s="50">
        <v>0.10299523902023984</v>
      </c>
    </row>
    <row r="6" spans="1: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-7.8907528339460575E-2</v>
      </c>
      <c r="G6" s="50">
        <v>0.10299523902023984</v>
      </c>
    </row>
    <row r="7" spans="1: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0.19372967770232674</v>
      </c>
      <c r="G7" s="50">
        <v>0.10299523902023984</v>
      </c>
    </row>
    <row r="8" spans="1: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v>0.71211759028393917</v>
      </c>
      <c r="G8" s="50">
        <v>0.10299523902023984</v>
      </c>
    </row>
    <row r="9" spans="1: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v>0.46458641028249809</v>
      </c>
      <c r="G9" s="50">
        <v>0.10299523902023984</v>
      </c>
    </row>
    <row r="10" spans="1: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v>1.0904375200021745</v>
      </c>
      <c r="G10" s="50">
        <v>0.10299523902023984</v>
      </c>
    </row>
    <row r="11" spans="1: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v>0.73460352450894062</v>
      </c>
      <c r="G11" s="50">
        <v>0.10299523902023984</v>
      </c>
    </row>
    <row r="12" spans="1: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v>0.65405740699127635</v>
      </c>
      <c r="G12" s="50">
        <v>0.10299523902023984</v>
      </c>
    </row>
    <row r="13" spans="1: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v>0.57004534084851322</v>
      </c>
      <c r="G13" s="50">
        <v>-0.11631460411492099</v>
      </c>
    </row>
    <row r="14" spans="1: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v>-0.15194780570688993</v>
      </c>
      <c r="G14" s="50">
        <v>-0.11631460411492099</v>
      </c>
    </row>
    <row r="15" spans="1: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v>4.9191643383140769E-2</v>
      </c>
      <c r="G15" s="50">
        <v>-0.11631460411492099</v>
      </c>
    </row>
    <row r="16" spans="1: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v>-0.23766540139636769</v>
      </c>
      <c r="G16" s="50">
        <v>-0.11631460411492099</v>
      </c>
    </row>
    <row r="17" spans="1:7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v>7.2641248128490127E-2</v>
      </c>
      <c r="G17" s="50">
        <v>-0.11631460411492099</v>
      </c>
    </row>
    <row r="18" spans="1:7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v>2.1344472249498331E-2</v>
      </c>
      <c r="G18" s="50">
        <v>-0.11631460411492099</v>
      </c>
    </row>
    <row r="19" spans="1:7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v>4.3416060207188134E-4</v>
      </c>
      <c r="G19" s="50">
        <v>-0.11631460411492099</v>
      </c>
    </row>
    <row r="20" spans="1:7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v>-0.48127635421609938</v>
      </c>
      <c r="G20" s="50">
        <v>-0.11631460411492099</v>
      </c>
    </row>
    <row r="21" spans="1:7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v>-0.33927941399176736</v>
      </c>
      <c r="G21" s="50">
        <v>-0.11631460411492099</v>
      </c>
    </row>
    <row r="22" spans="1:7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v>-0.66663393104980051</v>
      </c>
      <c r="G22" s="50">
        <v>-0.11631460411492099</v>
      </c>
    </row>
    <row r="23" spans="1:7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v>-0.82049127729304749</v>
      </c>
      <c r="G23" s="50">
        <v>0.14498785791662738</v>
      </c>
    </row>
    <row r="24" spans="1:7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v>-0.93606956280844389</v>
      </c>
      <c r="G24" s="50">
        <v>0.14498785791662738</v>
      </c>
    </row>
    <row r="25" spans="1:7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v>-0.70020245579705642</v>
      </c>
      <c r="G25" s="50">
        <v>0.14498785791662738</v>
      </c>
    </row>
    <row r="26" spans="1:7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v>-0.48320257654754589</v>
      </c>
      <c r="G26" s="50">
        <v>0.14498785791662738</v>
      </c>
    </row>
    <row r="27" spans="1:7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v>2.507130588071016E-2</v>
      </c>
      <c r="G27" s="50">
        <v>0.14498785791662738</v>
      </c>
    </row>
    <row r="28" spans="1:7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v>0.14363276847356277</v>
      </c>
      <c r="G28" s="50">
        <v>0.14498785791662738</v>
      </c>
    </row>
    <row r="29" spans="1:7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v>0.25366487237671459</v>
      </c>
      <c r="G29" s="50">
        <v>0.14498785791662738</v>
      </c>
    </row>
    <row r="30" spans="1:7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v>1.2946583886008181</v>
      </c>
      <c r="G30" s="50">
        <v>0.14498785791662738</v>
      </c>
    </row>
    <row r="31" spans="1:7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v>1.2745794914650472</v>
      </c>
      <c r="G31" s="50">
        <v>0.14498785791662738</v>
      </c>
    </row>
    <row r="32" spans="1:7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v>1.3982376248155151</v>
      </c>
      <c r="G32" s="50">
        <v>0.14498785791662738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163</v>
      </c>
      <c r="C2" s="51" t="s">
        <v>166</v>
      </c>
      <c r="D2" s="51" t="s">
        <v>165</v>
      </c>
      <c r="E2" s="51" t="s">
        <v>164</v>
      </c>
      <c r="F2" s="51" t="s">
        <v>169</v>
      </c>
      <c r="G2" s="51" t="s">
        <v>168</v>
      </c>
      <c r="H2" s="51" t="s">
        <v>167</v>
      </c>
      <c r="I2" s="51" t="s">
        <v>16</v>
      </c>
      <c r="J2" s="51" t="s">
        <v>14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0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0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0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0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50"/>
  </cols>
  <sheetData>
    <row r="2" spans="1:17" s="51" customFormat="1" x14ac:dyDescent="0.25">
      <c r="B2" s="51" t="s">
        <v>163</v>
      </c>
      <c r="C2" s="51" t="s">
        <v>166</v>
      </c>
      <c r="D2" s="51" t="s">
        <v>165</v>
      </c>
      <c r="E2" s="51" t="s">
        <v>164</v>
      </c>
      <c r="F2" s="51" t="s">
        <v>169</v>
      </c>
      <c r="G2" s="51" t="s">
        <v>168</v>
      </c>
      <c r="H2" s="51" t="s">
        <v>167</v>
      </c>
      <c r="I2" s="51" t="s">
        <v>16</v>
      </c>
      <c r="J2" s="51" t="s">
        <v>14</v>
      </c>
    </row>
    <row r="3" spans="1:1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  <c r="K3" s="50" cm="1">
        <f t="array" ref="K3:Q7">LINEST(I3:I32,C3:H32,FALSE,TRUE)</f>
        <v>1.3816550681326354</v>
      </c>
      <c r="L3" s="50">
        <v>-0.41758705837161564</v>
      </c>
      <c r="M3" s="50">
        <v>1.1166977652058547</v>
      </c>
      <c r="N3" s="50">
        <v>-7.2340277422123798</v>
      </c>
      <c r="O3" s="50">
        <v>1.2393034451933336</v>
      </c>
      <c r="P3" s="50">
        <v>-1.1833482426450739</v>
      </c>
      <c r="Q3" s="50">
        <v>0</v>
      </c>
    </row>
    <row r="4" spans="1:1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  <c r="K4" s="50">
        <v>0.14520728871519786</v>
      </c>
      <c r="L4" s="50">
        <v>0.14520728871519789</v>
      </c>
      <c r="M4" s="50">
        <v>0.14520728871519786</v>
      </c>
      <c r="N4" s="50">
        <v>0.78041376285291653</v>
      </c>
      <c r="O4" s="50">
        <v>0.47941346385480721</v>
      </c>
      <c r="P4" s="50">
        <v>0.18870238743117199</v>
      </c>
      <c r="Q4" s="50" t="e">
        <v>#N/A</v>
      </c>
    </row>
    <row r="5" spans="1:1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  <c r="K5" s="50">
        <v>0.87224969932548324</v>
      </c>
      <c r="L5" s="50">
        <v>0.27623201048946444</v>
      </c>
      <c r="M5" s="50" t="e">
        <v>#N/A</v>
      </c>
      <c r="N5" s="50" t="e">
        <v>#N/A</v>
      </c>
      <c r="O5" s="50" t="e">
        <v>#N/A</v>
      </c>
      <c r="P5" s="50" t="e">
        <v>#N/A</v>
      </c>
      <c r="Q5" s="50" t="e">
        <v>#N/A</v>
      </c>
    </row>
    <row r="6" spans="1:1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  <c r="K6" s="50">
        <v>27.311080904546987</v>
      </c>
      <c r="L6" s="50">
        <v>24</v>
      </c>
      <c r="M6" s="50" t="e">
        <v>#N/A</v>
      </c>
      <c r="N6" s="50" t="e">
        <v>#N/A</v>
      </c>
      <c r="O6" s="50" t="e">
        <v>#N/A</v>
      </c>
      <c r="P6" s="50" t="e">
        <v>#N/A</v>
      </c>
      <c r="Q6" s="50" t="e">
        <v>#N/A</v>
      </c>
    </row>
    <row r="7" spans="1:1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  <c r="K7" s="50">
        <v>12.503688561062837</v>
      </c>
      <c r="L7" s="50">
        <v>1.8312989668572386</v>
      </c>
      <c r="M7" s="50" t="e">
        <v>#N/A</v>
      </c>
      <c r="N7" s="50" t="e">
        <v>#N/A</v>
      </c>
      <c r="O7" s="50" t="e">
        <v>#N/A</v>
      </c>
      <c r="P7" s="50" t="e">
        <v>#N/A</v>
      </c>
      <c r="Q7" s="50" t="e">
        <v>#N/A</v>
      </c>
    </row>
    <row r="8" spans="1:1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50" bestFit="1" customWidth="1"/>
    <col min="2" max="2" width="14" style="50" bestFit="1" customWidth="1"/>
    <col min="3" max="8" width="4.5" style="50" bestFit="1" customWidth="1"/>
    <col min="9" max="16" width="7.6640625" style="50" customWidth="1"/>
    <col min="17" max="16384" width="10.83203125" style="50"/>
  </cols>
  <sheetData>
    <row r="2" spans="1:16" s="51" customFormat="1" x14ac:dyDescent="0.25">
      <c r="B2" s="51" t="s">
        <v>163</v>
      </c>
      <c r="C2" s="51" t="s">
        <v>166</v>
      </c>
      <c r="D2" s="51" t="s">
        <v>165</v>
      </c>
      <c r="E2" s="51" t="s">
        <v>164</v>
      </c>
      <c r="F2" s="51" t="s">
        <v>175</v>
      </c>
      <c r="G2" s="51" t="s">
        <v>174</v>
      </c>
      <c r="H2" s="51" t="s">
        <v>173</v>
      </c>
      <c r="I2" s="51" t="s">
        <v>169</v>
      </c>
      <c r="J2" s="51" t="s">
        <v>168</v>
      </c>
      <c r="K2" s="51" t="s">
        <v>167</v>
      </c>
      <c r="L2" s="51" t="s">
        <v>172</v>
      </c>
      <c r="M2" s="51" t="s">
        <v>171</v>
      </c>
      <c r="N2" s="51" t="s">
        <v>170</v>
      </c>
      <c r="O2" s="51" t="s">
        <v>16</v>
      </c>
      <c r="P2" s="51" t="s">
        <v>14</v>
      </c>
    </row>
    <row r="3" spans="1:16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0</v>
      </c>
      <c r="G3" s="50">
        <v>0</v>
      </c>
      <c r="H3" s="50">
        <v>0</v>
      </c>
      <c r="I3" s="50">
        <f t="shared" ref="I3:I32" si="0">$B3*C3</f>
        <v>0.20943951023931953</v>
      </c>
      <c r="J3" s="50">
        <f t="shared" ref="J3:J32" si="1">$B3*D3</f>
        <v>0</v>
      </c>
      <c r="K3" s="50">
        <f t="shared" ref="K3:K32" si="2">$B3*E3</f>
        <v>0</v>
      </c>
      <c r="L3" s="50">
        <f t="shared" ref="L3:L32" si="3">$B3*F3</f>
        <v>0</v>
      </c>
      <c r="M3" s="50">
        <f t="shared" ref="M3:M32" si="4">$B3*G3</f>
        <v>0</v>
      </c>
      <c r="N3" s="50">
        <f t="shared" ref="N3:N32" si="5">$B3*H3</f>
        <v>0</v>
      </c>
      <c r="O3" s="50">
        <v>-1.0584942919841807</v>
      </c>
      <c r="P3" s="50" cm="1">
        <f t="array" ref="P3:P32">TREND(O3:O32,C3:N32,C3:N32,FALSE)</f>
        <v>-1.2125948508733759</v>
      </c>
    </row>
    <row r="4" spans="1:16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0</v>
      </c>
      <c r="G4" s="50">
        <v>0</v>
      </c>
      <c r="H4" s="50">
        <v>0</v>
      </c>
      <c r="I4" s="50">
        <f t="shared" si="0"/>
        <v>0.41887902047863906</v>
      </c>
      <c r="J4" s="50">
        <f t="shared" si="1"/>
        <v>0</v>
      </c>
      <c r="K4" s="50">
        <f t="shared" si="2"/>
        <v>0</v>
      </c>
      <c r="L4" s="50">
        <f t="shared" si="3"/>
        <v>0</v>
      </c>
      <c r="M4" s="50">
        <f t="shared" si="4"/>
        <v>0</v>
      </c>
      <c r="N4" s="50">
        <f t="shared" si="5"/>
        <v>0</v>
      </c>
      <c r="O4" s="50">
        <v>-1.0115837814668849</v>
      </c>
      <c r="P4" s="50">
        <v>-0.86888243162333156</v>
      </c>
    </row>
    <row r="5" spans="1:16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0</v>
      </c>
      <c r="G5" s="50">
        <v>0</v>
      </c>
      <c r="H5" s="50">
        <v>0</v>
      </c>
      <c r="I5" s="50">
        <f t="shared" si="0"/>
        <v>0.62831853071795862</v>
      </c>
      <c r="J5" s="50">
        <f t="shared" si="1"/>
        <v>0</v>
      </c>
      <c r="K5" s="50">
        <f t="shared" si="2"/>
        <v>0</v>
      </c>
      <c r="L5" s="50">
        <f t="shared" si="3"/>
        <v>0</v>
      </c>
      <c r="M5" s="50">
        <f t="shared" si="4"/>
        <v>0</v>
      </c>
      <c r="N5" s="50">
        <f t="shared" si="5"/>
        <v>0</v>
      </c>
      <c r="O5" s="50">
        <v>-0.67059413777823096</v>
      </c>
      <c r="P5" s="50">
        <v>-0.5251700123732872</v>
      </c>
    </row>
    <row r="6" spans="1:16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0</v>
      </c>
      <c r="G6" s="50">
        <v>0</v>
      </c>
      <c r="H6" s="50">
        <v>0</v>
      </c>
      <c r="I6" s="50">
        <f t="shared" si="0"/>
        <v>0.83775804095727813</v>
      </c>
      <c r="J6" s="50">
        <f t="shared" si="1"/>
        <v>0</v>
      </c>
      <c r="K6" s="50">
        <f t="shared" si="2"/>
        <v>0</v>
      </c>
      <c r="L6" s="50">
        <f t="shared" si="3"/>
        <v>0</v>
      </c>
      <c r="M6" s="50">
        <f t="shared" si="4"/>
        <v>0</v>
      </c>
      <c r="N6" s="50">
        <f t="shared" si="5"/>
        <v>0</v>
      </c>
      <c r="O6" s="50">
        <v>-7.8907528339460575E-2</v>
      </c>
      <c r="P6" s="50">
        <v>-0.18145759312324294</v>
      </c>
    </row>
    <row r="7" spans="1:16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f t="shared" si="0"/>
        <v>1.0471975511965976</v>
      </c>
      <c r="J7" s="50">
        <f t="shared" si="1"/>
        <v>0</v>
      </c>
      <c r="K7" s="50">
        <f t="shared" si="2"/>
        <v>0</v>
      </c>
      <c r="L7" s="50">
        <f t="shared" si="3"/>
        <v>0</v>
      </c>
      <c r="M7" s="50">
        <f t="shared" si="4"/>
        <v>0</v>
      </c>
      <c r="N7" s="50">
        <f t="shared" si="5"/>
        <v>0</v>
      </c>
      <c r="O7" s="50">
        <v>0.19372967770232674</v>
      </c>
      <c r="P7" s="50">
        <v>0.16225482612680131</v>
      </c>
    </row>
    <row r="8" spans="1:16" x14ac:dyDescent="0.25">
      <c r="A8" s="50">
        <v>6</v>
      </c>
      <c r="B8" s="50">
        <v>1.2566370614359172</v>
      </c>
      <c r="C8" s="50">
        <v>0</v>
      </c>
      <c r="D8" s="50">
        <v>1</v>
      </c>
      <c r="E8" s="50">
        <v>0</v>
      </c>
      <c r="F8" s="50">
        <v>0</v>
      </c>
      <c r="G8" s="50">
        <v>0</v>
      </c>
      <c r="H8" s="50">
        <v>0</v>
      </c>
      <c r="I8" s="50">
        <f t="shared" si="0"/>
        <v>0</v>
      </c>
      <c r="J8" s="50">
        <f t="shared" si="1"/>
        <v>1.2566370614359172</v>
      </c>
      <c r="K8" s="50">
        <f t="shared" si="2"/>
        <v>0</v>
      </c>
      <c r="L8" s="50">
        <f t="shared" si="3"/>
        <v>0</v>
      </c>
      <c r="M8" s="50">
        <f t="shared" si="4"/>
        <v>0</v>
      </c>
      <c r="N8" s="50">
        <f t="shared" si="5"/>
        <v>0</v>
      </c>
      <c r="O8" s="50">
        <v>0.71211759028393917</v>
      </c>
      <c r="P8" s="50">
        <v>0.70038114088554237</v>
      </c>
    </row>
    <row r="9" spans="1:16" x14ac:dyDescent="0.25">
      <c r="A9" s="50">
        <v>7</v>
      </c>
      <c r="B9" s="50">
        <v>1.4660765716752369</v>
      </c>
      <c r="C9" s="50">
        <v>0</v>
      </c>
      <c r="D9" s="50">
        <v>1</v>
      </c>
      <c r="E9" s="50">
        <v>0</v>
      </c>
      <c r="F9" s="50">
        <v>0</v>
      </c>
      <c r="G9" s="50">
        <v>0</v>
      </c>
      <c r="H9" s="50">
        <v>0</v>
      </c>
      <c r="I9" s="50">
        <f t="shared" si="0"/>
        <v>0</v>
      </c>
      <c r="J9" s="50">
        <f t="shared" si="1"/>
        <v>1.4660765716752369</v>
      </c>
      <c r="K9" s="50">
        <f t="shared" si="2"/>
        <v>0</v>
      </c>
      <c r="L9" s="50">
        <f t="shared" si="3"/>
        <v>0</v>
      </c>
      <c r="M9" s="50">
        <f t="shared" si="4"/>
        <v>0</v>
      </c>
      <c r="N9" s="50">
        <f t="shared" si="5"/>
        <v>0</v>
      </c>
      <c r="O9" s="50">
        <v>0.46458641028249809</v>
      </c>
      <c r="P9" s="50">
        <v>0.71577081564965417</v>
      </c>
    </row>
    <row r="10" spans="1:16" x14ac:dyDescent="0.25">
      <c r="A10" s="50">
        <v>8</v>
      </c>
      <c r="B10" s="50">
        <v>1.6755160819145563</v>
      </c>
      <c r="C10" s="50">
        <v>0</v>
      </c>
      <c r="D10" s="50">
        <v>1</v>
      </c>
      <c r="E10" s="50">
        <v>0</v>
      </c>
      <c r="F10" s="50">
        <v>0</v>
      </c>
      <c r="G10" s="50">
        <v>0</v>
      </c>
      <c r="H10" s="50">
        <v>0</v>
      </c>
      <c r="I10" s="50">
        <f t="shared" si="0"/>
        <v>0</v>
      </c>
      <c r="J10" s="50">
        <f t="shared" si="1"/>
        <v>1.6755160819145563</v>
      </c>
      <c r="K10" s="50">
        <f t="shared" si="2"/>
        <v>0</v>
      </c>
      <c r="L10" s="50">
        <f t="shared" si="3"/>
        <v>0</v>
      </c>
      <c r="M10" s="50">
        <f t="shared" si="4"/>
        <v>0</v>
      </c>
      <c r="N10" s="50">
        <f t="shared" si="5"/>
        <v>0</v>
      </c>
      <c r="O10" s="50">
        <v>1.0904375200021745</v>
      </c>
      <c r="P10" s="50">
        <v>0.73116049041376596</v>
      </c>
    </row>
    <row r="11" spans="1:16" x14ac:dyDescent="0.25">
      <c r="A11" s="50">
        <v>9</v>
      </c>
      <c r="B11" s="50">
        <v>1.8849555921538759</v>
      </c>
      <c r="C11" s="50">
        <v>0</v>
      </c>
      <c r="D11" s="50">
        <v>1</v>
      </c>
      <c r="E11" s="50">
        <v>0</v>
      </c>
      <c r="F11" s="50">
        <v>0</v>
      </c>
      <c r="G11" s="50">
        <v>0</v>
      </c>
      <c r="H11" s="50">
        <v>0</v>
      </c>
      <c r="I11" s="50">
        <f t="shared" si="0"/>
        <v>0</v>
      </c>
      <c r="J11" s="50">
        <f t="shared" si="1"/>
        <v>1.8849555921538759</v>
      </c>
      <c r="K11" s="50">
        <f t="shared" si="2"/>
        <v>0</v>
      </c>
      <c r="L11" s="50">
        <f t="shared" si="3"/>
        <v>0</v>
      </c>
      <c r="M11" s="50">
        <f t="shared" si="4"/>
        <v>0</v>
      </c>
      <c r="N11" s="50">
        <f t="shared" si="5"/>
        <v>0</v>
      </c>
      <c r="O11" s="50">
        <v>0.73460352450894062</v>
      </c>
      <c r="P11" s="50">
        <v>0.74655016517787776</v>
      </c>
    </row>
    <row r="12" spans="1:16" x14ac:dyDescent="0.25">
      <c r="A12" s="50">
        <v>10</v>
      </c>
      <c r="B12" s="50">
        <v>2.0943951023931953</v>
      </c>
      <c r="C12" s="50">
        <v>0</v>
      </c>
      <c r="D12" s="50">
        <v>1</v>
      </c>
      <c r="E12" s="50">
        <v>0</v>
      </c>
      <c r="F12" s="50">
        <v>0</v>
      </c>
      <c r="G12" s="50">
        <v>0</v>
      </c>
      <c r="H12" s="50">
        <v>0</v>
      </c>
      <c r="I12" s="50">
        <f t="shared" si="0"/>
        <v>0</v>
      </c>
      <c r="J12" s="50">
        <f t="shared" si="1"/>
        <v>2.0943951023931953</v>
      </c>
      <c r="K12" s="50">
        <f t="shared" si="2"/>
        <v>0</v>
      </c>
      <c r="L12" s="50">
        <f t="shared" si="3"/>
        <v>0</v>
      </c>
      <c r="M12" s="50">
        <f t="shared" si="4"/>
        <v>0</v>
      </c>
      <c r="N12" s="50">
        <f t="shared" si="5"/>
        <v>0</v>
      </c>
      <c r="O12" s="50">
        <v>0.65405740699127635</v>
      </c>
      <c r="P12" s="50">
        <v>0.76193983994198955</v>
      </c>
    </row>
    <row r="13" spans="1:16" x14ac:dyDescent="0.25">
      <c r="A13" s="50">
        <v>11</v>
      </c>
      <c r="B13" s="50">
        <v>2.3038346126325147</v>
      </c>
      <c r="C13" s="50">
        <v>0</v>
      </c>
      <c r="D13" s="50">
        <v>0</v>
      </c>
      <c r="E13" s="50">
        <v>1</v>
      </c>
      <c r="F13" s="50">
        <v>0</v>
      </c>
      <c r="G13" s="50">
        <v>0</v>
      </c>
      <c r="H13" s="50">
        <v>0</v>
      </c>
      <c r="I13" s="50">
        <f t="shared" si="0"/>
        <v>0</v>
      </c>
      <c r="J13" s="50">
        <f t="shared" si="1"/>
        <v>0</v>
      </c>
      <c r="K13" s="50">
        <f t="shared" si="2"/>
        <v>2.3038346126325147</v>
      </c>
      <c r="L13" s="50">
        <f t="shared" si="3"/>
        <v>0</v>
      </c>
      <c r="M13" s="50">
        <f t="shared" si="4"/>
        <v>0</v>
      </c>
      <c r="N13" s="50">
        <f t="shared" si="5"/>
        <v>0</v>
      </c>
      <c r="O13" s="50">
        <v>0.57004534084851322</v>
      </c>
      <c r="P13" s="50">
        <v>0.27655816127728228</v>
      </c>
    </row>
    <row r="14" spans="1:16" x14ac:dyDescent="0.25">
      <c r="A14" s="50">
        <v>12</v>
      </c>
      <c r="B14" s="50">
        <v>2.5132741228718345</v>
      </c>
      <c r="C14" s="50">
        <v>0</v>
      </c>
      <c r="D14" s="50">
        <v>0</v>
      </c>
      <c r="E14" s="50">
        <v>1</v>
      </c>
      <c r="F14" s="50">
        <v>0</v>
      </c>
      <c r="G14" s="50">
        <v>0</v>
      </c>
      <c r="H14" s="50">
        <v>0</v>
      </c>
      <c r="I14" s="50">
        <f t="shared" si="0"/>
        <v>0</v>
      </c>
      <c r="J14" s="50">
        <f t="shared" si="1"/>
        <v>0</v>
      </c>
      <c r="K14" s="50">
        <f t="shared" si="2"/>
        <v>2.5132741228718345</v>
      </c>
      <c r="L14" s="50">
        <f t="shared" si="3"/>
        <v>0</v>
      </c>
      <c r="M14" s="50">
        <f t="shared" si="4"/>
        <v>0</v>
      </c>
      <c r="N14" s="50">
        <f t="shared" si="5"/>
        <v>0</v>
      </c>
      <c r="O14" s="50">
        <v>-0.15194780570688993</v>
      </c>
      <c r="P14" s="50">
        <v>0.16850558316432962</v>
      </c>
    </row>
    <row r="15" spans="1:16" x14ac:dyDescent="0.25">
      <c r="A15" s="50">
        <v>13</v>
      </c>
      <c r="B15" s="50">
        <v>2.7227136331111543</v>
      </c>
      <c r="C15" s="50">
        <v>0</v>
      </c>
      <c r="D15" s="50">
        <v>0</v>
      </c>
      <c r="E15" s="50">
        <v>1</v>
      </c>
      <c r="F15" s="50">
        <v>0</v>
      </c>
      <c r="G15" s="50">
        <v>0</v>
      </c>
      <c r="H15" s="50">
        <v>0</v>
      </c>
      <c r="I15" s="50">
        <f t="shared" si="0"/>
        <v>0</v>
      </c>
      <c r="J15" s="50">
        <f t="shared" si="1"/>
        <v>0</v>
      </c>
      <c r="K15" s="50">
        <f t="shared" si="2"/>
        <v>2.7227136331111543</v>
      </c>
      <c r="L15" s="50">
        <f t="shared" si="3"/>
        <v>0</v>
      </c>
      <c r="M15" s="50">
        <f t="shared" si="4"/>
        <v>0</v>
      </c>
      <c r="N15" s="50">
        <f t="shared" si="5"/>
        <v>0</v>
      </c>
      <c r="O15" s="50">
        <v>4.9191643383140769E-2</v>
      </c>
      <c r="P15" s="50">
        <v>6.0453005051376962E-2</v>
      </c>
    </row>
    <row r="16" spans="1:16" x14ac:dyDescent="0.25">
      <c r="A16" s="50">
        <v>14</v>
      </c>
      <c r="B16" s="50">
        <v>2.9321531433504737</v>
      </c>
      <c r="C16" s="50">
        <v>0</v>
      </c>
      <c r="D16" s="50">
        <v>0</v>
      </c>
      <c r="E16" s="50">
        <v>1</v>
      </c>
      <c r="F16" s="50">
        <v>0</v>
      </c>
      <c r="G16" s="50">
        <v>0</v>
      </c>
      <c r="H16" s="50">
        <v>0</v>
      </c>
      <c r="I16" s="50">
        <f t="shared" si="0"/>
        <v>0</v>
      </c>
      <c r="J16" s="50">
        <f t="shared" si="1"/>
        <v>0</v>
      </c>
      <c r="K16" s="50">
        <f t="shared" si="2"/>
        <v>2.9321531433504737</v>
      </c>
      <c r="L16" s="50">
        <f t="shared" si="3"/>
        <v>0</v>
      </c>
      <c r="M16" s="50">
        <f t="shared" si="4"/>
        <v>0</v>
      </c>
      <c r="N16" s="50">
        <f t="shared" si="5"/>
        <v>0</v>
      </c>
      <c r="O16" s="50">
        <v>-0.23766540139636769</v>
      </c>
      <c r="P16" s="50">
        <v>-4.7599573061575473E-2</v>
      </c>
    </row>
    <row r="17" spans="1:16" x14ac:dyDescent="0.25">
      <c r="A17" s="50">
        <v>15</v>
      </c>
      <c r="B17" s="50">
        <v>3.1415926535897927</v>
      </c>
      <c r="C17" s="50">
        <v>0</v>
      </c>
      <c r="D17" s="50">
        <v>0</v>
      </c>
      <c r="E17" s="50">
        <v>1</v>
      </c>
      <c r="F17" s="50">
        <v>0</v>
      </c>
      <c r="G17" s="50">
        <v>0</v>
      </c>
      <c r="H17" s="50">
        <v>0</v>
      </c>
      <c r="I17" s="50">
        <f t="shared" si="0"/>
        <v>0</v>
      </c>
      <c r="J17" s="50">
        <f t="shared" si="1"/>
        <v>0</v>
      </c>
      <c r="K17" s="50">
        <f t="shared" si="2"/>
        <v>3.1415926535897927</v>
      </c>
      <c r="L17" s="50">
        <f t="shared" si="3"/>
        <v>0</v>
      </c>
      <c r="M17" s="50">
        <f t="shared" si="4"/>
        <v>0</v>
      </c>
      <c r="N17" s="50">
        <f t="shared" si="5"/>
        <v>0</v>
      </c>
      <c r="O17" s="50">
        <v>7.2641248128490127E-2</v>
      </c>
      <c r="P17" s="50">
        <v>-0.15565215117452746</v>
      </c>
    </row>
    <row r="18" spans="1:16" x14ac:dyDescent="0.25">
      <c r="A18" s="50">
        <v>16</v>
      </c>
      <c r="B18" s="50">
        <v>3.3510321638291125</v>
      </c>
      <c r="C18" s="50">
        <v>0</v>
      </c>
      <c r="D18" s="50">
        <v>0</v>
      </c>
      <c r="E18" s="50">
        <v>0</v>
      </c>
      <c r="F18" s="50">
        <v>1</v>
      </c>
      <c r="G18" s="50">
        <v>0</v>
      </c>
      <c r="H18" s="50">
        <v>0</v>
      </c>
      <c r="I18" s="50">
        <f t="shared" si="0"/>
        <v>0</v>
      </c>
      <c r="J18" s="50">
        <f t="shared" si="1"/>
        <v>0</v>
      </c>
      <c r="K18" s="50">
        <f t="shared" si="2"/>
        <v>0</v>
      </c>
      <c r="L18" s="50">
        <f t="shared" si="3"/>
        <v>3.3510321638291125</v>
      </c>
      <c r="M18" s="50">
        <f t="shared" si="4"/>
        <v>0</v>
      </c>
      <c r="N18" s="50">
        <f t="shared" si="5"/>
        <v>0</v>
      </c>
      <c r="O18" s="50">
        <v>2.1344472249498331E-2</v>
      </c>
      <c r="P18" s="50">
        <v>5.00518629572686E-2</v>
      </c>
    </row>
    <row r="19" spans="1:16" x14ac:dyDescent="0.25">
      <c r="A19" s="50">
        <v>17</v>
      </c>
      <c r="B19" s="50">
        <v>3.5604716740684323</v>
      </c>
      <c r="C19" s="50">
        <v>0</v>
      </c>
      <c r="D19" s="50">
        <v>0</v>
      </c>
      <c r="E19" s="50">
        <v>0</v>
      </c>
      <c r="F19" s="50">
        <v>1</v>
      </c>
      <c r="G19" s="50">
        <v>0</v>
      </c>
      <c r="H19" s="50">
        <v>0</v>
      </c>
      <c r="I19" s="50">
        <f t="shared" si="0"/>
        <v>0</v>
      </c>
      <c r="J19" s="50">
        <f t="shared" si="1"/>
        <v>0</v>
      </c>
      <c r="K19" s="50">
        <f t="shared" si="2"/>
        <v>0</v>
      </c>
      <c r="L19" s="50">
        <f t="shared" si="3"/>
        <v>3.5604716740684323</v>
      </c>
      <c r="M19" s="50">
        <f t="shared" si="4"/>
        <v>0</v>
      </c>
      <c r="N19" s="50">
        <f t="shared" si="5"/>
        <v>0</v>
      </c>
      <c r="O19" s="50">
        <v>4.3416060207188134E-4</v>
      </c>
      <c r="P19" s="50">
        <v>-0.12151517516197519</v>
      </c>
    </row>
    <row r="20" spans="1:16" x14ac:dyDescent="0.25">
      <c r="A20" s="50">
        <v>18</v>
      </c>
      <c r="B20" s="50">
        <v>3.7699111843077517</v>
      </c>
      <c r="C20" s="50">
        <v>0</v>
      </c>
      <c r="D20" s="50">
        <v>0</v>
      </c>
      <c r="E20" s="50">
        <v>0</v>
      </c>
      <c r="F20" s="50">
        <v>1</v>
      </c>
      <c r="G20" s="50">
        <v>0</v>
      </c>
      <c r="H20" s="50">
        <v>0</v>
      </c>
      <c r="I20" s="50">
        <f t="shared" si="0"/>
        <v>0</v>
      </c>
      <c r="J20" s="50">
        <f t="shared" si="1"/>
        <v>0</v>
      </c>
      <c r="K20" s="50">
        <f t="shared" si="2"/>
        <v>0</v>
      </c>
      <c r="L20" s="50">
        <f t="shared" si="3"/>
        <v>3.7699111843077517</v>
      </c>
      <c r="M20" s="50">
        <f t="shared" si="4"/>
        <v>0</v>
      </c>
      <c r="N20" s="50">
        <f t="shared" si="5"/>
        <v>0</v>
      </c>
      <c r="O20" s="50">
        <v>-0.48127635421609938</v>
      </c>
      <c r="P20" s="50">
        <v>-0.29308221328121853</v>
      </c>
    </row>
    <row r="21" spans="1:16" x14ac:dyDescent="0.25">
      <c r="A21" s="50">
        <v>19</v>
      </c>
      <c r="B21" s="50">
        <v>3.9793506945470711</v>
      </c>
      <c r="C21" s="50">
        <v>0</v>
      </c>
      <c r="D21" s="50">
        <v>0</v>
      </c>
      <c r="E21" s="50">
        <v>0</v>
      </c>
      <c r="F21" s="50">
        <v>1</v>
      </c>
      <c r="G21" s="50">
        <v>0</v>
      </c>
      <c r="H21" s="50">
        <v>0</v>
      </c>
      <c r="I21" s="50">
        <f t="shared" si="0"/>
        <v>0</v>
      </c>
      <c r="J21" s="50">
        <f t="shared" si="1"/>
        <v>0</v>
      </c>
      <c r="K21" s="50">
        <f t="shared" si="2"/>
        <v>0</v>
      </c>
      <c r="L21" s="50">
        <f t="shared" si="3"/>
        <v>3.9793506945470711</v>
      </c>
      <c r="M21" s="50">
        <f t="shared" si="4"/>
        <v>0</v>
      </c>
      <c r="N21" s="50">
        <f t="shared" si="5"/>
        <v>0</v>
      </c>
      <c r="O21" s="50">
        <v>-0.33927941399176736</v>
      </c>
      <c r="P21" s="50">
        <v>-0.46464925140046232</v>
      </c>
    </row>
    <row r="22" spans="1:16" x14ac:dyDescent="0.25">
      <c r="A22" s="50">
        <v>20</v>
      </c>
      <c r="B22" s="50">
        <v>4.1887902047863905</v>
      </c>
      <c r="C22" s="50">
        <v>0</v>
      </c>
      <c r="D22" s="50">
        <v>0</v>
      </c>
      <c r="E22" s="50">
        <v>0</v>
      </c>
      <c r="F22" s="50">
        <v>1</v>
      </c>
      <c r="G22" s="50">
        <v>0</v>
      </c>
      <c r="H22" s="50">
        <v>0</v>
      </c>
      <c r="I22" s="50">
        <f t="shared" si="0"/>
        <v>0</v>
      </c>
      <c r="J22" s="50">
        <f t="shared" si="1"/>
        <v>0</v>
      </c>
      <c r="K22" s="50">
        <f t="shared" si="2"/>
        <v>0</v>
      </c>
      <c r="L22" s="50">
        <f t="shared" si="3"/>
        <v>4.1887902047863905</v>
      </c>
      <c r="M22" s="50">
        <f t="shared" si="4"/>
        <v>0</v>
      </c>
      <c r="N22" s="50">
        <f t="shared" si="5"/>
        <v>0</v>
      </c>
      <c r="O22" s="50">
        <v>-0.66663393104980051</v>
      </c>
      <c r="P22" s="50">
        <v>-0.63621628951970566</v>
      </c>
    </row>
    <row r="23" spans="1:16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0</v>
      </c>
      <c r="F23" s="50">
        <v>0</v>
      </c>
      <c r="G23" s="50">
        <v>1</v>
      </c>
      <c r="H23" s="50">
        <v>0</v>
      </c>
      <c r="I23" s="50">
        <f t="shared" si="0"/>
        <v>0</v>
      </c>
      <c r="J23" s="50">
        <f t="shared" si="1"/>
        <v>0</v>
      </c>
      <c r="K23" s="50">
        <f t="shared" si="2"/>
        <v>0</v>
      </c>
      <c r="L23" s="50">
        <f t="shared" si="3"/>
        <v>0</v>
      </c>
      <c r="M23" s="50">
        <f t="shared" si="4"/>
        <v>4.3982297150257104</v>
      </c>
      <c r="N23" s="50">
        <f t="shared" si="5"/>
        <v>0</v>
      </c>
      <c r="O23" s="50">
        <v>-0.82049127729304749</v>
      </c>
      <c r="P23" s="50">
        <v>-1.0117773438347601</v>
      </c>
    </row>
    <row r="24" spans="1:16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0</v>
      </c>
      <c r="F24" s="50">
        <v>0</v>
      </c>
      <c r="G24" s="50">
        <v>1</v>
      </c>
      <c r="H24" s="50">
        <v>0</v>
      </c>
      <c r="I24" s="50">
        <f t="shared" si="0"/>
        <v>0</v>
      </c>
      <c r="J24" s="50">
        <f t="shared" si="1"/>
        <v>0</v>
      </c>
      <c r="K24" s="50">
        <f t="shared" si="2"/>
        <v>0</v>
      </c>
      <c r="L24" s="50">
        <f t="shared" si="3"/>
        <v>0</v>
      </c>
      <c r="M24" s="50">
        <f t="shared" si="4"/>
        <v>4.6076692252650293</v>
      </c>
      <c r="N24" s="50">
        <f t="shared" si="5"/>
        <v>0</v>
      </c>
      <c r="O24" s="50">
        <v>-0.93606956280844389</v>
      </c>
      <c r="P24" s="50">
        <v>-0.79737812857391965</v>
      </c>
    </row>
    <row r="25" spans="1:16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0</v>
      </c>
      <c r="F25" s="50">
        <v>0</v>
      </c>
      <c r="G25" s="50">
        <v>1</v>
      </c>
      <c r="H25" s="50">
        <v>0</v>
      </c>
      <c r="I25" s="50">
        <f t="shared" si="0"/>
        <v>0</v>
      </c>
      <c r="J25" s="50">
        <f t="shared" si="1"/>
        <v>0</v>
      </c>
      <c r="K25" s="50">
        <f t="shared" si="2"/>
        <v>0</v>
      </c>
      <c r="L25" s="50">
        <f t="shared" si="3"/>
        <v>0</v>
      </c>
      <c r="M25" s="50">
        <f t="shared" si="4"/>
        <v>4.8171087355043491</v>
      </c>
      <c r="N25" s="50">
        <f t="shared" si="5"/>
        <v>0</v>
      </c>
      <c r="O25" s="50">
        <v>-0.70020245579705642</v>
      </c>
      <c r="P25" s="50">
        <v>-0.58297891331307827</v>
      </c>
    </row>
    <row r="26" spans="1:16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0</v>
      </c>
      <c r="F26" s="50">
        <v>0</v>
      </c>
      <c r="G26" s="50">
        <v>1</v>
      </c>
      <c r="H26" s="50">
        <v>0</v>
      </c>
      <c r="I26" s="50">
        <f t="shared" si="0"/>
        <v>0</v>
      </c>
      <c r="J26" s="50">
        <f t="shared" si="1"/>
        <v>0</v>
      </c>
      <c r="K26" s="50">
        <f t="shared" si="2"/>
        <v>0</v>
      </c>
      <c r="L26" s="50">
        <f t="shared" si="3"/>
        <v>0</v>
      </c>
      <c r="M26" s="50">
        <f t="shared" si="4"/>
        <v>5.026548245743669</v>
      </c>
      <c r="N26" s="50">
        <f t="shared" si="5"/>
        <v>0</v>
      </c>
      <c r="O26" s="50">
        <v>-0.48320257654754589</v>
      </c>
      <c r="P26" s="50">
        <v>-0.368579698052236</v>
      </c>
    </row>
    <row r="27" spans="1:16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0</v>
      </c>
      <c r="F27" s="50">
        <v>0</v>
      </c>
      <c r="G27" s="50">
        <v>1</v>
      </c>
      <c r="H27" s="50">
        <v>0</v>
      </c>
      <c r="I27" s="50">
        <f t="shared" si="0"/>
        <v>0</v>
      </c>
      <c r="J27" s="50">
        <f t="shared" si="1"/>
        <v>0</v>
      </c>
      <c r="K27" s="50">
        <f t="shared" si="2"/>
        <v>0</v>
      </c>
      <c r="L27" s="50">
        <f t="shared" si="3"/>
        <v>0</v>
      </c>
      <c r="M27" s="50">
        <f t="shared" si="4"/>
        <v>5.2359877559829888</v>
      </c>
      <c r="N27" s="50">
        <f t="shared" si="5"/>
        <v>0</v>
      </c>
      <c r="O27" s="50">
        <v>2.507130588071016E-2</v>
      </c>
      <c r="P27" s="50">
        <v>-0.15418048279139462</v>
      </c>
    </row>
    <row r="28" spans="1:16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1</v>
      </c>
      <c r="I28" s="50">
        <f t="shared" si="0"/>
        <v>0</v>
      </c>
      <c r="J28" s="50">
        <f t="shared" si="1"/>
        <v>0</v>
      </c>
      <c r="K28" s="50">
        <f t="shared" si="2"/>
        <v>0</v>
      </c>
      <c r="L28" s="50">
        <f t="shared" si="3"/>
        <v>0</v>
      </c>
      <c r="M28" s="50">
        <f t="shared" si="4"/>
        <v>0</v>
      </c>
      <c r="N28" s="50">
        <f t="shared" si="5"/>
        <v>5.4454272662223087</v>
      </c>
      <c r="O28" s="50">
        <v>0.14363276847356277</v>
      </c>
      <c r="P28" s="50">
        <v>0.16692976279188443</v>
      </c>
    </row>
    <row r="29" spans="1:16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1</v>
      </c>
      <c r="I29" s="50">
        <f t="shared" si="0"/>
        <v>0</v>
      </c>
      <c r="J29" s="50">
        <f t="shared" si="1"/>
        <v>0</v>
      </c>
      <c r="K29" s="50">
        <f t="shared" si="2"/>
        <v>0</v>
      </c>
      <c r="L29" s="50">
        <f t="shared" si="3"/>
        <v>0</v>
      </c>
      <c r="M29" s="50">
        <f t="shared" si="4"/>
        <v>0</v>
      </c>
      <c r="N29" s="50">
        <f t="shared" si="5"/>
        <v>5.6548667764616276</v>
      </c>
      <c r="O29" s="50">
        <v>0.25366487237671459</v>
      </c>
      <c r="P29" s="50">
        <v>0.51994219596910796</v>
      </c>
    </row>
    <row r="30" spans="1:16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0</v>
      </c>
      <c r="F30" s="50">
        <v>0</v>
      </c>
      <c r="G30" s="50">
        <v>0</v>
      </c>
      <c r="H30" s="50">
        <v>1</v>
      </c>
      <c r="I30" s="50">
        <f t="shared" si="0"/>
        <v>0</v>
      </c>
      <c r="J30" s="50">
        <f t="shared" si="1"/>
        <v>0</v>
      </c>
      <c r="K30" s="50">
        <f t="shared" si="2"/>
        <v>0</v>
      </c>
      <c r="L30" s="50">
        <f t="shared" si="3"/>
        <v>0</v>
      </c>
      <c r="M30" s="50">
        <f t="shared" si="4"/>
        <v>0</v>
      </c>
      <c r="N30" s="50">
        <f t="shared" si="5"/>
        <v>5.8643062867009474</v>
      </c>
      <c r="O30" s="50">
        <v>1.2946583886008181</v>
      </c>
      <c r="P30" s="50">
        <v>0.87295462914633326</v>
      </c>
    </row>
    <row r="31" spans="1:16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1</v>
      </c>
      <c r="I31" s="50">
        <f t="shared" si="0"/>
        <v>0</v>
      </c>
      <c r="J31" s="50">
        <f t="shared" si="1"/>
        <v>0</v>
      </c>
      <c r="K31" s="50">
        <f t="shared" si="2"/>
        <v>0</v>
      </c>
      <c r="L31" s="50">
        <f t="shared" si="3"/>
        <v>0</v>
      </c>
      <c r="M31" s="50">
        <f t="shared" si="4"/>
        <v>0</v>
      </c>
      <c r="N31" s="50">
        <f t="shared" si="5"/>
        <v>6.0737457969402673</v>
      </c>
      <c r="O31" s="50">
        <v>1.2745794914650472</v>
      </c>
      <c r="P31" s="50">
        <v>1.2259670623235568</v>
      </c>
    </row>
    <row r="32" spans="1:16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1</v>
      </c>
      <c r="I32" s="50">
        <f t="shared" si="0"/>
        <v>0</v>
      </c>
      <c r="J32" s="50">
        <f t="shared" si="1"/>
        <v>0</v>
      </c>
      <c r="K32" s="50">
        <f t="shared" si="2"/>
        <v>0</v>
      </c>
      <c r="L32" s="50">
        <f t="shared" si="3"/>
        <v>0</v>
      </c>
      <c r="M32" s="50">
        <f t="shared" si="4"/>
        <v>0</v>
      </c>
      <c r="N32" s="50">
        <f t="shared" si="5"/>
        <v>6.2831853071795853</v>
      </c>
      <c r="O32" s="50">
        <v>1.3982376248155151</v>
      </c>
      <c r="P32" s="50">
        <v>1.5789794955007785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163</v>
      </c>
      <c r="C2" s="51" t="s">
        <v>166</v>
      </c>
      <c r="D2" s="51" t="s">
        <v>165</v>
      </c>
      <c r="E2" s="51" t="s">
        <v>169</v>
      </c>
      <c r="F2" s="51" t="s">
        <v>168</v>
      </c>
      <c r="G2" s="51" t="s">
        <v>177</v>
      </c>
      <c r="H2" s="51" t="s">
        <v>176</v>
      </c>
      <c r="I2" s="51" t="s">
        <v>16</v>
      </c>
      <c r="J2" s="51" t="s">
        <v>14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f t="shared" ref="E3:E32" si="0">$B3*C3</f>
        <v>0.20943951023931953</v>
      </c>
      <c r="F3" s="50">
        <f t="shared" ref="F3:F32" si="1">$B3*D3</f>
        <v>0</v>
      </c>
      <c r="G3" s="50">
        <f t="shared" ref="G3:G32" si="2">$B3^2*D3</f>
        <v>0</v>
      </c>
      <c r="H3" s="50">
        <f t="shared" ref="H3:H32" si="3">$B3^2*E3</f>
        <v>9.1870449423110557E-3</v>
      </c>
      <c r="I3" s="50">
        <v>-1.0584942919841807</v>
      </c>
      <c r="J3" s="50" cm="1">
        <f t="array" ref="J3:J32">TREND(I3:I32,C3:H32,C3:H32,FALSE)</f>
        <v>-1.0760110124151598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f t="shared" si="0"/>
        <v>0.41887902047863906</v>
      </c>
      <c r="F4" s="50">
        <f t="shared" si="1"/>
        <v>0</v>
      </c>
      <c r="G4" s="50">
        <f t="shared" si="2"/>
        <v>0</v>
      </c>
      <c r="H4" s="50">
        <f t="shared" si="3"/>
        <v>7.3496359538488445E-2</v>
      </c>
      <c r="I4" s="50">
        <v>-1.0115837814668849</v>
      </c>
      <c r="J4" s="50">
        <v>-0.75497527995230318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f t="shared" si="0"/>
        <v>0.62831853071795862</v>
      </c>
      <c r="F5" s="50">
        <f t="shared" si="1"/>
        <v>0</v>
      </c>
      <c r="G5" s="50">
        <f t="shared" si="2"/>
        <v>0</v>
      </c>
      <c r="H5" s="50">
        <f t="shared" si="3"/>
        <v>0.24805021344239853</v>
      </c>
      <c r="I5" s="50">
        <v>-0.67059413777823096</v>
      </c>
      <c r="J5" s="50">
        <v>-0.44821327874827138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f t="shared" si="0"/>
        <v>0.83775804095727813</v>
      </c>
      <c r="F6" s="50">
        <f t="shared" si="1"/>
        <v>0</v>
      </c>
      <c r="G6" s="50">
        <f t="shared" si="2"/>
        <v>0</v>
      </c>
      <c r="H6" s="50">
        <f t="shared" si="3"/>
        <v>0.58797087630790756</v>
      </c>
      <c r="I6" s="50">
        <v>-7.8907528339460575E-2</v>
      </c>
      <c r="J6" s="50">
        <v>-0.16286187443247691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f t="shared" si="0"/>
        <v>1.0471975511965976</v>
      </c>
      <c r="F7" s="50">
        <f t="shared" si="1"/>
        <v>0</v>
      </c>
      <c r="G7" s="50">
        <f t="shared" si="2"/>
        <v>0</v>
      </c>
      <c r="H7" s="50">
        <f t="shared" si="3"/>
        <v>1.1483806177888818</v>
      </c>
      <c r="I7" s="50">
        <v>0.19372967770232674</v>
      </c>
      <c r="J7" s="50">
        <v>9.394206736566782E-2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f t="shared" si="0"/>
        <v>1.2566370614359172</v>
      </c>
      <c r="F8" s="50">
        <f t="shared" si="1"/>
        <v>0</v>
      </c>
      <c r="G8" s="50">
        <f t="shared" si="2"/>
        <v>0</v>
      </c>
      <c r="H8" s="50">
        <f t="shared" si="3"/>
        <v>1.9844017075391882</v>
      </c>
      <c r="I8" s="50">
        <v>0.71211759028393917</v>
      </c>
      <c r="J8" s="50">
        <v>0.31506168101675086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f t="shared" si="0"/>
        <v>1.4660765716752369</v>
      </c>
      <c r="F9" s="50">
        <f t="shared" si="1"/>
        <v>0</v>
      </c>
      <c r="G9" s="50">
        <f t="shared" si="2"/>
        <v>0</v>
      </c>
      <c r="H9" s="50">
        <f t="shared" si="3"/>
        <v>3.1511564152126925</v>
      </c>
      <c r="I9" s="50">
        <v>0.46458641028249809</v>
      </c>
      <c r="J9" s="50">
        <v>0.49336010089135923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f t="shared" si="0"/>
        <v>1.6755160819145563</v>
      </c>
      <c r="F10" s="50">
        <f t="shared" si="1"/>
        <v>0</v>
      </c>
      <c r="G10" s="50">
        <f t="shared" si="2"/>
        <v>0</v>
      </c>
      <c r="H10" s="50">
        <f t="shared" si="3"/>
        <v>4.7037670104632605</v>
      </c>
      <c r="I10" s="50">
        <v>1.0904375200021745</v>
      </c>
      <c r="J10" s="50">
        <v>0.6217004613600805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f t="shared" si="0"/>
        <v>1.8849555921538759</v>
      </c>
      <c r="F11" s="50">
        <f t="shared" si="1"/>
        <v>0</v>
      </c>
      <c r="G11" s="50">
        <f t="shared" si="2"/>
        <v>0</v>
      </c>
      <c r="H11" s="50">
        <f t="shared" si="3"/>
        <v>6.6973557629447606</v>
      </c>
      <c r="I11" s="50">
        <v>0.73460352450894062</v>
      </c>
      <c r="J11" s="50">
        <v>0.69294589679350282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f t="shared" si="0"/>
        <v>2.0943951023931953</v>
      </c>
      <c r="F12" s="50">
        <f t="shared" si="1"/>
        <v>0</v>
      </c>
      <c r="G12" s="50">
        <f t="shared" si="2"/>
        <v>0</v>
      </c>
      <c r="H12" s="50">
        <f t="shared" si="3"/>
        <v>9.1870449423110543</v>
      </c>
      <c r="I12" s="50">
        <v>0.65405740699127635</v>
      </c>
      <c r="J12" s="50">
        <v>0.69995954156221285</v>
      </c>
    </row>
    <row r="13" spans="1:10" x14ac:dyDescent="0.25">
      <c r="A13" s="50">
        <v>11</v>
      </c>
      <c r="B13" s="50">
        <v>2.3038346126325147</v>
      </c>
      <c r="C13" s="50">
        <v>1</v>
      </c>
      <c r="D13" s="50">
        <v>0</v>
      </c>
      <c r="E13" s="50">
        <f t="shared" si="0"/>
        <v>2.3038346126325147</v>
      </c>
      <c r="F13" s="50">
        <f t="shared" si="1"/>
        <v>0</v>
      </c>
      <c r="G13" s="50">
        <f t="shared" si="2"/>
        <v>0</v>
      </c>
      <c r="H13" s="50">
        <f t="shared" si="3"/>
        <v>12.227956818216011</v>
      </c>
      <c r="I13" s="50">
        <v>0.57004534084851322</v>
      </c>
      <c r="J13" s="50">
        <v>0.6356045300367994</v>
      </c>
    </row>
    <row r="14" spans="1:10" x14ac:dyDescent="0.25">
      <c r="A14" s="50">
        <v>12</v>
      </c>
      <c r="B14" s="50">
        <v>2.5132741228718345</v>
      </c>
      <c r="C14" s="50">
        <v>1</v>
      </c>
      <c r="D14" s="50">
        <v>0</v>
      </c>
      <c r="E14" s="50">
        <f t="shared" si="0"/>
        <v>2.5132741228718345</v>
      </c>
      <c r="F14" s="50">
        <f t="shared" si="1"/>
        <v>0</v>
      </c>
      <c r="G14" s="50">
        <f t="shared" si="2"/>
        <v>0</v>
      </c>
      <c r="H14" s="50">
        <f t="shared" si="3"/>
        <v>15.875213660313506</v>
      </c>
      <c r="I14" s="50">
        <v>-0.15194780570688993</v>
      </c>
      <c r="J14" s="50">
        <v>0.49274399658784906</v>
      </c>
    </row>
    <row r="15" spans="1:10" x14ac:dyDescent="0.25">
      <c r="A15" s="50">
        <v>13</v>
      </c>
      <c r="B15" s="50">
        <v>2.7227136331111543</v>
      </c>
      <c r="C15" s="50">
        <v>1</v>
      </c>
      <c r="D15" s="50">
        <v>0</v>
      </c>
      <c r="E15" s="50">
        <f t="shared" si="0"/>
        <v>2.7227136331111543</v>
      </c>
      <c r="F15" s="50">
        <f t="shared" si="1"/>
        <v>0</v>
      </c>
      <c r="G15" s="50">
        <f t="shared" si="2"/>
        <v>0</v>
      </c>
      <c r="H15" s="50">
        <f t="shared" si="3"/>
        <v>20.183937738257399</v>
      </c>
      <c r="I15" s="50">
        <v>4.9191643383140769E-2</v>
      </c>
      <c r="J15" s="50">
        <v>0.26424107558594923</v>
      </c>
    </row>
    <row r="16" spans="1:10" x14ac:dyDescent="0.25">
      <c r="A16" s="50">
        <v>14</v>
      </c>
      <c r="B16" s="50">
        <v>2.9321531433504737</v>
      </c>
      <c r="C16" s="50">
        <v>1</v>
      </c>
      <c r="D16" s="50">
        <v>0</v>
      </c>
      <c r="E16" s="50">
        <f t="shared" si="0"/>
        <v>2.9321531433504737</v>
      </c>
      <c r="F16" s="50">
        <f t="shared" si="1"/>
        <v>0</v>
      </c>
      <c r="G16" s="50">
        <f t="shared" si="2"/>
        <v>0</v>
      </c>
      <c r="H16" s="50">
        <f t="shared" si="3"/>
        <v>25.20925132170154</v>
      </c>
      <c r="I16" s="50">
        <v>-0.23766540139636769</v>
      </c>
      <c r="J16" s="50">
        <v>-5.7041098598310747E-2</v>
      </c>
    </row>
    <row r="17" spans="1:10" x14ac:dyDescent="0.25">
      <c r="A17" s="50">
        <v>15</v>
      </c>
      <c r="B17" s="50">
        <v>3.1415926535897927</v>
      </c>
      <c r="C17" s="50">
        <v>1</v>
      </c>
      <c r="D17" s="50">
        <v>0</v>
      </c>
      <c r="E17" s="50">
        <f t="shared" si="0"/>
        <v>3.1415926535897927</v>
      </c>
      <c r="F17" s="50">
        <f t="shared" si="1"/>
        <v>0</v>
      </c>
      <c r="G17" s="50">
        <f t="shared" si="2"/>
        <v>0</v>
      </c>
      <c r="H17" s="50">
        <f t="shared" si="3"/>
        <v>31.006276680299802</v>
      </c>
      <c r="I17" s="50">
        <v>7.2641248128490127E-2</v>
      </c>
      <c r="J17" s="50">
        <v>-0.47823939159434437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f t="shared" si="0"/>
        <v>0</v>
      </c>
      <c r="F18" s="50">
        <f t="shared" si="1"/>
        <v>3.3510321638291125</v>
      </c>
      <c r="G18" s="50">
        <f t="shared" si="2"/>
        <v>11.229416563017224</v>
      </c>
      <c r="H18" s="50">
        <f t="shared" si="3"/>
        <v>0</v>
      </c>
      <c r="I18" s="50">
        <v>2.1344472249498331E-2</v>
      </c>
      <c r="J18" s="50">
        <v>9.3338481297851494E-2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f t="shared" si="0"/>
        <v>0</v>
      </c>
      <c r="F19" s="50">
        <f t="shared" si="1"/>
        <v>3.5604716740684323</v>
      </c>
      <c r="G19" s="50">
        <f t="shared" si="2"/>
        <v>12.676958541843666</v>
      </c>
      <c r="H19" s="50">
        <f t="shared" si="3"/>
        <v>0</v>
      </c>
      <c r="I19" s="50">
        <v>4.3416060207188134E-4</v>
      </c>
      <c r="J19" s="50">
        <v>-0.18360299006434566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f t="shared" si="0"/>
        <v>0</v>
      </c>
      <c r="F20" s="50">
        <f t="shared" si="1"/>
        <v>3.7699111843077517</v>
      </c>
      <c r="G20" s="50">
        <f t="shared" si="2"/>
        <v>14.212230337568675</v>
      </c>
      <c r="H20" s="50">
        <f t="shared" si="3"/>
        <v>0</v>
      </c>
      <c r="I20" s="50">
        <v>-0.48127635421609938</v>
      </c>
      <c r="J20" s="50">
        <v>-0.39974612123682185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f t="shared" si="0"/>
        <v>0</v>
      </c>
      <c r="F21" s="50">
        <f t="shared" si="1"/>
        <v>3.9793506945470711</v>
      </c>
      <c r="G21" s="50">
        <f t="shared" si="2"/>
        <v>15.835231950192258</v>
      </c>
      <c r="H21" s="50">
        <f t="shared" si="3"/>
        <v>0</v>
      </c>
      <c r="I21" s="50">
        <v>-0.33927941399176736</v>
      </c>
      <c r="J21" s="50">
        <v>-0.55509091221957618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f t="shared" si="0"/>
        <v>0</v>
      </c>
      <c r="F22" s="50">
        <f t="shared" si="1"/>
        <v>4.1887902047863905</v>
      </c>
      <c r="G22" s="50">
        <f t="shared" si="2"/>
        <v>17.545963379714411</v>
      </c>
      <c r="H22" s="50">
        <f t="shared" si="3"/>
        <v>0</v>
      </c>
      <c r="I22" s="50">
        <v>-0.66663393104980051</v>
      </c>
      <c r="J22" s="50">
        <v>-0.64963736301261044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1</v>
      </c>
      <c r="E23" s="50">
        <f t="shared" si="0"/>
        <v>0</v>
      </c>
      <c r="F23" s="50">
        <f t="shared" si="1"/>
        <v>4.3982297150257104</v>
      </c>
      <c r="G23" s="50">
        <f t="shared" si="2"/>
        <v>19.34442462613514</v>
      </c>
      <c r="H23" s="50">
        <f t="shared" si="3"/>
        <v>0</v>
      </c>
      <c r="I23" s="50">
        <v>-0.82049127729304749</v>
      </c>
      <c r="J23" s="50">
        <v>-0.68338547361592639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1</v>
      </c>
      <c r="E24" s="50">
        <f t="shared" si="0"/>
        <v>0</v>
      </c>
      <c r="F24" s="50">
        <f t="shared" si="1"/>
        <v>4.6076692252650293</v>
      </c>
      <c r="G24" s="50">
        <f t="shared" si="2"/>
        <v>21.230615689454435</v>
      </c>
      <c r="H24" s="50">
        <f t="shared" si="3"/>
        <v>0</v>
      </c>
      <c r="I24" s="50">
        <v>-0.93606956280844389</v>
      </c>
      <c r="J24" s="50">
        <v>-0.65633524402951693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1</v>
      </c>
      <c r="E25" s="50">
        <f t="shared" si="0"/>
        <v>0</v>
      </c>
      <c r="F25" s="50">
        <f t="shared" si="1"/>
        <v>4.8171087355043491</v>
      </c>
      <c r="G25" s="50">
        <f t="shared" si="2"/>
        <v>23.20453656967231</v>
      </c>
      <c r="H25" s="50">
        <f t="shared" si="3"/>
        <v>0</v>
      </c>
      <c r="I25" s="50">
        <v>-0.70020245579705642</v>
      </c>
      <c r="J25" s="50">
        <v>-0.56848667425338562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1</v>
      </c>
      <c r="E26" s="50">
        <f t="shared" si="0"/>
        <v>0</v>
      </c>
      <c r="F26" s="50">
        <f t="shared" si="1"/>
        <v>5.026548245743669</v>
      </c>
      <c r="G26" s="50">
        <f t="shared" si="2"/>
        <v>25.266187266788755</v>
      </c>
      <c r="H26" s="50">
        <f t="shared" si="3"/>
        <v>0</v>
      </c>
      <c r="I26" s="50">
        <v>-0.48320257654754589</v>
      </c>
      <c r="J26" s="50">
        <v>-0.41983976428753422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1</v>
      </c>
      <c r="E27" s="50">
        <f t="shared" si="0"/>
        <v>0</v>
      </c>
      <c r="F27" s="50">
        <f t="shared" si="1"/>
        <v>5.2359877559829888</v>
      </c>
      <c r="G27" s="50">
        <f t="shared" si="2"/>
        <v>27.415567780803777</v>
      </c>
      <c r="H27" s="50">
        <f t="shared" si="3"/>
        <v>0</v>
      </c>
      <c r="I27" s="50">
        <v>2.507130588071016E-2</v>
      </c>
      <c r="J27" s="50">
        <v>-0.21039451413196275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1</v>
      </c>
      <c r="E28" s="50">
        <f t="shared" si="0"/>
        <v>0</v>
      </c>
      <c r="F28" s="50">
        <f t="shared" si="1"/>
        <v>5.4454272662223087</v>
      </c>
      <c r="G28" s="50">
        <f t="shared" si="2"/>
        <v>29.652678111717368</v>
      </c>
      <c r="H28" s="50">
        <f t="shared" si="3"/>
        <v>0</v>
      </c>
      <c r="I28" s="50">
        <v>0.14363276847356277</v>
      </c>
      <c r="J28" s="50">
        <v>5.98490762133288E-2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1</v>
      </c>
      <c r="E29" s="50">
        <f t="shared" si="0"/>
        <v>0</v>
      </c>
      <c r="F29" s="50">
        <f t="shared" si="1"/>
        <v>5.6548667764616276</v>
      </c>
      <c r="G29" s="50">
        <f t="shared" si="2"/>
        <v>31.977518259529518</v>
      </c>
      <c r="H29" s="50">
        <f t="shared" si="3"/>
        <v>0</v>
      </c>
      <c r="I29" s="50">
        <v>0.25366487237671459</v>
      </c>
      <c r="J29" s="50">
        <v>0.39089100674834043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1</v>
      </c>
      <c r="E30" s="50">
        <f t="shared" si="0"/>
        <v>0</v>
      </c>
      <c r="F30" s="50">
        <f t="shared" si="1"/>
        <v>5.8643062867009474</v>
      </c>
      <c r="G30" s="50">
        <f t="shared" si="2"/>
        <v>34.390088224240252</v>
      </c>
      <c r="H30" s="50">
        <f t="shared" si="3"/>
        <v>0</v>
      </c>
      <c r="I30" s="50">
        <v>1.2946583886008181</v>
      </c>
      <c r="J30" s="50">
        <v>0.78273127747307214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1</v>
      </c>
      <c r="E31" s="50">
        <f t="shared" si="0"/>
        <v>0</v>
      </c>
      <c r="F31" s="50">
        <f t="shared" si="1"/>
        <v>6.0737457969402673</v>
      </c>
      <c r="G31" s="50">
        <f t="shared" si="2"/>
        <v>36.890388005849566</v>
      </c>
      <c r="H31" s="50">
        <f t="shared" si="3"/>
        <v>0</v>
      </c>
      <c r="I31" s="50">
        <v>1.2745794914650472</v>
      </c>
      <c r="J31" s="50">
        <v>1.235369888387531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1</v>
      </c>
      <c r="E32" s="50">
        <f t="shared" si="0"/>
        <v>0</v>
      </c>
      <c r="F32" s="50">
        <f t="shared" si="1"/>
        <v>6.2831853071795853</v>
      </c>
      <c r="G32" s="50">
        <f t="shared" si="2"/>
        <v>39.478417604357418</v>
      </c>
      <c r="H32" s="50">
        <f t="shared" si="3"/>
        <v>0</v>
      </c>
      <c r="I32" s="50">
        <v>1.3982376248155151</v>
      </c>
      <c r="J32" s="50">
        <v>1.7488068394917029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11"/>
  <sheetViews>
    <sheetView workbookViewId="0"/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335</v>
      </c>
    </row>
    <row r="2" spans="1:1" x14ac:dyDescent="0.3">
      <c r="A2" s="124" t="s">
        <v>336</v>
      </c>
    </row>
    <row r="3" spans="1:1" x14ac:dyDescent="0.3">
      <c r="A3" s="124" t="s">
        <v>337</v>
      </c>
    </row>
    <row r="4" spans="1:1" x14ac:dyDescent="0.3">
      <c r="A4" s="124" t="s">
        <v>338</v>
      </c>
    </row>
    <row r="5" spans="1:1" x14ac:dyDescent="0.3">
      <c r="A5" s="124" t="s">
        <v>339</v>
      </c>
    </row>
    <row r="6" spans="1:1" x14ac:dyDescent="0.3">
      <c r="A6" s="124" t="s">
        <v>340</v>
      </c>
    </row>
    <row r="7" spans="1:1" x14ac:dyDescent="0.3">
      <c r="A7" s="124" t="s">
        <v>341</v>
      </c>
    </row>
    <row r="8" spans="1:1" x14ac:dyDescent="0.3">
      <c r="A8" s="124" t="s">
        <v>342</v>
      </c>
    </row>
    <row r="9" spans="1:1" x14ac:dyDescent="0.3">
      <c r="A9" s="124" t="s">
        <v>343</v>
      </c>
    </row>
    <row r="10" spans="1:1" x14ac:dyDescent="0.3">
      <c r="A10" s="124" t="s">
        <v>359</v>
      </c>
    </row>
    <row r="11" spans="1:1" x14ac:dyDescent="0.3">
      <c r="A11" s="124" t="s">
        <v>360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C4:T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178</v>
      </c>
      <c r="D4" s="52" t="s">
        <v>179</v>
      </c>
      <c r="E4" s="53" t="s">
        <v>180</v>
      </c>
      <c r="F4" s="53" t="s">
        <v>181</v>
      </c>
    </row>
    <row r="5" spans="3:6" ht="18" x14ac:dyDescent="0.25">
      <c r="C5" s="53">
        <v>2</v>
      </c>
      <c r="D5" s="53">
        <f>$O$40*C5+$O$41</f>
        <v>5.0000000000000018</v>
      </c>
      <c r="E5" s="53" t="s">
        <v>182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183</v>
      </c>
      <c r="F15" s="53" t="s">
        <v>184</v>
      </c>
    </row>
    <row r="16" spans="3:6" x14ac:dyDescent="0.2">
      <c r="C16" s="54">
        <v>3.1</v>
      </c>
      <c r="D16" s="53">
        <f>$O$42*C16+$O$43</f>
        <v>6.3000000000000007</v>
      </c>
    </row>
    <row r="17" spans="3:20" x14ac:dyDescent="0.2">
      <c r="C17" s="54">
        <v>3.2</v>
      </c>
      <c r="D17" s="53">
        <f t="shared" ref="D17:D25" si="1">$O$42*C17+$O$43</f>
        <v>6.6000000000000014</v>
      </c>
    </row>
    <row r="18" spans="3:20" x14ac:dyDescent="0.2">
      <c r="C18" s="54">
        <v>3.3</v>
      </c>
      <c r="D18" s="53">
        <f t="shared" si="1"/>
        <v>6.8999999999999986</v>
      </c>
    </row>
    <row r="19" spans="3:20" x14ac:dyDescent="0.2">
      <c r="C19" s="54">
        <v>3.4</v>
      </c>
      <c r="D19" s="53">
        <f t="shared" si="1"/>
        <v>7.1999999999999993</v>
      </c>
    </row>
    <row r="20" spans="3:20" x14ac:dyDescent="0.2">
      <c r="C20" s="54">
        <v>3.5</v>
      </c>
      <c r="D20" s="53">
        <f t="shared" si="1"/>
        <v>7.5</v>
      </c>
    </row>
    <row r="21" spans="3:20" x14ac:dyDescent="0.2">
      <c r="C21" s="54">
        <v>3.6</v>
      </c>
      <c r="D21" s="53">
        <f t="shared" si="1"/>
        <v>7.8000000000000007</v>
      </c>
    </row>
    <row r="22" spans="3:20" x14ac:dyDescent="0.2">
      <c r="C22" s="54">
        <v>3.7</v>
      </c>
      <c r="D22" s="53">
        <f t="shared" si="1"/>
        <v>8.1000000000000014</v>
      </c>
    </row>
    <row r="23" spans="3:20" x14ac:dyDescent="0.2">
      <c r="C23" s="54">
        <v>3.8</v>
      </c>
      <c r="D23" s="53">
        <f t="shared" si="1"/>
        <v>8.3999999999999986</v>
      </c>
    </row>
    <row r="24" spans="3:20" x14ac:dyDescent="0.2">
      <c r="C24" s="54">
        <v>3.9</v>
      </c>
      <c r="D24" s="53">
        <f t="shared" si="1"/>
        <v>8.6999999999999993</v>
      </c>
    </row>
    <row r="25" spans="3:20" ht="18" x14ac:dyDescent="0.25">
      <c r="C25" s="53">
        <v>4</v>
      </c>
      <c r="D25" s="53">
        <f t="shared" si="1"/>
        <v>9</v>
      </c>
      <c r="E25" s="53" t="s">
        <v>184</v>
      </c>
    </row>
    <row r="31" spans="3:20" s="52" customFormat="1" ht="20" x14ac:dyDescent="0.25">
      <c r="D31" s="52" t="s">
        <v>185</v>
      </c>
      <c r="E31" s="52" t="s">
        <v>186</v>
      </c>
      <c r="G31" s="52" t="s">
        <v>187</v>
      </c>
      <c r="H31" s="52" t="s">
        <v>188</v>
      </c>
      <c r="I31" s="52" t="s">
        <v>189</v>
      </c>
      <c r="J31" s="52" t="s">
        <v>190</v>
      </c>
      <c r="L31" s="52" t="s">
        <v>191</v>
      </c>
      <c r="O31" s="52" t="s">
        <v>192</v>
      </c>
    </row>
    <row r="32" spans="3:20" ht="18" x14ac:dyDescent="0.25">
      <c r="C32" s="53" t="s">
        <v>193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194</v>
      </c>
      <c r="O32" s="60">
        <v>5</v>
      </c>
      <c r="Q32" s="53" cm="1">
        <f t="array" ref="Q32:R33">MINVERSE(G32:H33)</f>
        <v>-0.99999999999999989</v>
      </c>
      <c r="R32" s="53">
        <v>1</v>
      </c>
      <c r="T32" s="53" cm="1">
        <f t="array" ref="T32:T33">MMULT(_xlfn.ANCHORARRAY(Q32),O32:O33)</f>
        <v>1.0000000000000009</v>
      </c>
    </row>
    <row r="33" spans="3:20" ht="18" x14ac:dyDescent="0.25">
      <c r="C33" s="53" t="s">
        <v>193</v>
      </c>
      <c r="D33" s="55" t="str">
        <f t="shared" ref="D33:D35" si="2">"y(" &amp; E33 &amp; ")"</f>
        <v>y(3)</v>
      </c>
      <c r="E33" s="53">
        <v>3</v>
      </c>
      <c r="G33" s="61">
        <f>E33</f>
        <v>3</v>
      </c>
      <c r="H33" s="53">
        <v>1</v>
      </c>
      <c r="I33" s="53">
        <v>0</v>
      </c>
      <c r="J33" s="62">
        <v>0</v>
      </c>
      <c r="L33" s="63" t="s">
        <v>195</v>
      </c>
      <c r="N33" s="53" t="s">
        <v>196</v>
      </c>
      <c r="O33" s="64">
        <v>6</v>
      </c>
      <c r="Q33" s="53">
        <v>2.9999999999999996</v>
      </c>
      <c r="R33" s="53">
        <v>-1.9999999999999998</v>
      </c>
      <c r="T33" s="53">
        <v>3</v>
      </c>
    </row>
    <row r="34" spans="3:20" ht="18" x14ac:dyDescent="0.25">
      <c r="C34" s="53" t="s">
        <v>197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f>E34</f>
        <v>3</v>
      </c>
      <c r="J34" s="62">
        <v>1</v>
      </c>
      <c r="L34" s="63" t="s">
        <v>198</v>
      </c>
      <c r="O34" s="64">
        <v>6</v>
      </c>
    </row>
    <row r="35" spans="3:20" ht="18" x14ac:dyDescent="0.25">
      <c r="C35" s="53" t="s">
        <v>197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199</v>
      </c>
      <c r="O35" s="69">
        <v>9</v>
      </c>
    </row>
    <row r="39" spans="3:20" x14ac:dyDescent="0.2">
      <c r="L39" s="52" t="s">
        <v>191</v>
      </c>
      <c r="O39" s="52" t="s">
        <v>191</v>
      </c>
    </row>
    <row r="40" spans="3:20" ht="18" x14ac:dyDescent="0.25">
      <c r="I40" s="52"/>
      <c r="L40" s="59" t="s">
        <v>194</v>
      </c>
      <c r="O40" s="60">
        <f t="array" ref="O40:O43">MMULT(MINVERSE(G32:J35),O32:O35)</f>
        <v>1.0000000000000009</v>
      </c>
    </row>
    <row r="41" spans="3:20" ht="18" x14ac:dyDescent="0.25">
      <c r="L41" s="63" t="s">
        <v>195</v>
      </c>
      <c r="N41" s="53" t="s">
        <v>196</v>
      </c>
      <c r="O41" s="64">
        <v>3</v>
      </c>
    </row>
    <row r="42" spans="3:20" ht="18" x14ac:dyDescent="0.25">
      <c r="L42" s="63" t="s">
        <v>198</v>
      </c>
      <c r="O42" s="64">
        <v>3</v>
      </c>
    </row>
    <row r="43" spans="3:20" ht="18" x14ac:dyDescent="0.25">
      <c r="L43" s="68" t="s">
        <v>199</v>
      </c>
      <c r="O43" s="69">
        <v>-3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178</v>
      </c>
      <c r="D4" s="52" t="s">
        <v>179</v>
      </c>
      <c r="E4" s="53" t="s">
        <v>180</v>
      </c>
      <c r="F4" s="53" t="s">
        <v>181</v>
      </c>
    </row>
    <row r="5" spans="3:6" ht="18" x14ac:dyDescent="0.25">
      <c r="C5" s="53">
        <v>2</v>
      </c>
      <c r="D5" s="53">
        <f>$O$40*C5+$O$41</f>
        <v>5.0000000000000018</v>
      </c>
      <c r="E5" s="53" t="s">
        <v>182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183</v>
      </c>
      <c r="F15" s="53" t="s">
        <v>184</v>
      </c>
    </row>
    <row r="16" spans="3:6" x14ac:dyDescent="0.2">
      <c r="C16" s="54">
        <v>3.1</v>
      </c>
      <c r="D16" s="53">
        <f>$O$42*C16+$O$43</f>
        <v>6.1</v>
      </c>
    </row>
    <row r="17" spans="3:15" x14ac:dyDescent="0.2">
      <c r="C17" s="54">
        <v>3.2</v>
      </c>
      <c r="D17" s="53">
        <f t="shared" ref="D17:D25" si="1">$O$42*C17+$O$43</f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 t="shared" si="1"/>
        <v>7</v>
      </c>
      <c r="E25" s="53" t="s">
        <v>184</v>
      </c>
    </row>
    <row r="31" spans="3:15" s="52" customFormat="1" ht="20" x14ac:dyDescent="0.25">
      <c r="D31" s="52" t="s">
        <v>185</v>
      </c>
      <c r="E31" s="52" t="s">
        <v>186</v>
      </c>
      <c r="G31" s="52" t="s">
        <v>187</v>
      </c>
      <c r="H31" s="52" t="s">
        <v>188</v>
      </c>
      <c r="I31" s="52" t="s">
        <v>189</v>
      </c>
      <c r="J31" s="52" t="s">
        <v>190</v>
      </c>
      <c r="L31" s="52" t="s">
        <v>191</v>
      </c>
      <c r="O31" s="52" t="s">
        <v>192</v>
      </c>
    </row>
    <row r="32" spans="3:15" ht="18" x14ac:dyDescent="0.25">
      <c r="C32" s="53" t="s">
        <v>193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194</v>
      </c>
      <c r="O32" s="60">
        <v>5</v>
      </c>
    </row>
    <row r="33" spans="3:15" ht="18" x14ac:dyDescent="0.25">
      <c r="C33" s="53" t="s">
        <v>193</v>
      </c>
      <c r="D33" s="55" t="str">
        <f t="shared" ref="D33:D35" si="2">"y(" &amp; E33 &amp; ")"</f>
        <v>y(3)</v>
      </c>
      <c r="E33" s="53">
        <v>3</v>
      </c>
      <c r="G33" s="61">
        <v>3</v>
      </c>
      <c r="H33" s="53">
        <v>1</v>
      </c>
      <c r="I33" s="53">
        <v>0</v>
      </c>
      <c r="J33" s="62">
        <v>0</v>
      </c>
      <c r="L33" s="63" t="s">
        <v>195</v>
      </c>
      <c r="N33" s="53" t="s">
        <v>196</v>
      </c>
      <c r="O33" s="64">
        <v>6</v>
      </c>
    </row>
    <row r="34" spans="3:15" ht="18" x14ac:dyDescent="0.25">
      <c r="C34" s="53" t="s">
        <v>197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198</v>
      </c>
      <c r="O34" s="64">
        <v>6</v>
      </c>
    </row>
    <row r="35" spans="3:15" ht="18" x14ac:dyDescent="0.25">
      <c r="C35" s="53" t="s">
        <v>197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199</v>
      </c>
      <c r="O35" s="69">
        <v>7</v>
      </c>
    </row>
    <row r="39" spans="3:15" x14ac:dyDescent="0.2">
      <c r="L39" s="52" t="s">
        <v>191</v>
      </c>
      <c r="O39" s="52" t="s">
        <v>191</v>
      </c>
    </row>
    <row r="40" spans="3:15" ht="18" x14ac:dyDescent="0.25">
      <c r="I40" s="52"/>
      <c r="L40" s="59" t="s">
        <v>194</v>
      </c>
      <c r="O40" s="60">
        <f t="array" ref="O40:O43">MMULT(MINVERSE(G32:J35),O32:O35)</f>
        <v>1.0000000000000009</v>
      </c>
    </row>
    <row r="41" spans="3:15" ht="18" x14ac:dyDescent="0.25">
      <c r="L41" s="63" t="s">
        <v>195</v>
      </c>
      <c r="N41" s="53" t="s">
        <v>196</v>
      </c>
      <c r="O41" s="64">
        <v>3</v>
      </c>
    </row>
    <row r="42" spans="3:15" ht="18" x14ac:dyDescent="0.25">
      <c r="L42" s="63" t="s">
        <v>198</v>
      </c>
      <c r="O42" s="64">
        <v>1</v>
      </c>
    </row>
    <row r="43" spans="3:15" ht="18" x14ac:dyDescent="0.25">
      <c r="L43" s="68" t="s">
        <v>199</v>
      </c>
      <c r="O43" s="69">
        <v>3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178</v>
      </c>
      <c r="D4" s="52" t="s">
        <v>179</v>
      </c>
      <c r="E4" s="53" t="s">
        <v>180</v>
      </c>
      <c r="F4" s="53" t="s">
        <v>181</v>
      </c>
    </row>
    <row r="5" spans="3:6" ht="18" x14ac:dyDescent="0.25">
      <c r="C5" s="53">
        <v>2</v>
      </c>
      <c r="D5" s="53">
        <f>$O$40*C5+$O$41</f>
        <v>5</v>
      </c>
      <c r="E5" s="53" t="s">
        <v>182</v>
      </c>
    </row>
    <row r="6" spans="3:6" x14ac:dyDescent="0.2">
      <c r="C6" s="54">
        <v>2.1</v>
      </c>
      <c r="D6" s="53">
        <f t="shared" ref="D6:D15" si="0">$O$40*C6+$O$41</f>
        <v>5.0999999999999996</v>
      </c>
    </row>
    <row r="7" spans="3:6" x14ac:dyDescent="0.2">
      <c r="C7" s="54">
        <v>2.2000000000000002</v>
      </c>
      <c r="D7" s="53">
        <f t="shared" si="0"/>
        <v>5.2</v>
      </c>
    </row>
    <row r="8" spans="3:6" x14ac:dyDescent="0.2">
      <c r="C8" s="54">
        <v>2.2999999999999998</v>
      </c>
      <c r="D8" s="53">
        <f t="shared" si="0"/>
        <v>5.3</v>
      </c>
    </row>
    <row r="9" spans="3:6" x14ac:dyDescent="0.2">
      <c r="C9" s="54">
        <v>2.4</v>
      </c>
      <c r="D9" s="53">
        <f t="shared" si="0"/>
        <v>5.4</v>
      </c>
    </row>
    <row r="10" spans="3:6" x14ac:dyDescent="0.2">
      <c r="C10" s="54">
        <v>2.5</v>
      </c>
      <c r="D10" s="53">
        <f t="shared" si="0"/>
        <v>5.5</v>
      </c>
    </row>
    <row r="11" spans="3:6" x14ac:dyDescent="0.2">
      <c r="C11" s="54">
        <v>2.6</v>
      </c>
      <c r="D11" s="53">
        <f t="shared" si="0"/>
        <v>5.6</v>
      </c>
    </row>
    <row r="12" spans="3:6" x14ac:dyDescent="0.2">
      <c r="C12" s="54">
        <v>2.7</v>
      </c>
      <c r="D12" s="53">
        <f t="shared" si="0"/>
        <v>5.7</v>
      </c>
    </row>
    <row r="13" spans="3:6" x14ac:dyDescent="0.2">
      <c r="C13" s="54">
        <v>2.8</v>
      </c>
      <c r="D13" s="53">
        <f t="shared" si="0"/>
        <v>5.8</v>
      </c>
    </row>
    <row r="14" spans="3:6" x14ac:dyDescent="0.2">
      <c r="C14" s="54">
        <v>2.9</v>
      </c>
      <c r="D14" s="53">
        <f t="shared" si="0"/>
        <v>5.9</v>
      </c>
    </row>
    <row r="15" spans="3:6" ht="18" x14ac:dyDescent="0.25">
      <c r="C15" s="53">
        <v>3</v>
      </c>
      <c r="D15" s="53">
        <f t="shared" si="0"/>
        <v>6</v>
      </c>
      <c r="E15" s="53" t="s">
        <v>183</v>
      </c>
      <c r="F15" s="53" t="s">
        <v>184</v>
      </c>
    </row>
    <row r="16" spans="3:6" x14ac:dyDescent="0.2">
      <c r="C16" s="54">
        <v>3.1</v>
      </c>
      <c r="D16" s="53">
        <f t="shared" ref="D16:D24" si="1">$O$42*C16+$O$43</f>
        <v>6.1</v>
      </c>
    </row>
    <row r="17" spans="3:15" x14ac:dyDescent="0.2">
      <c r="C17" s="54">
        <v>3.2</v>
      </c>
      <c r="D17" s="53">
        <f t="shared" si="1"/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>$O$42*C25+$O$43</f>
        <v>7</v>
      </c>
      <c r="E25" s="53" t="s">
        <v>184</v>
      </c>
    </row>
    <row r="31" spans="3:15" s="52" customFormat="1" ht="20" x14ac:dyDescent="0.25">
      <c r="D31" s="52" t="s">
        <v>185</v>
      </c>
      <c r="E31" s="52" t="s">
        <v>186</v>
      </c>
      <c r="G31" s="52" t="s">
        <v>187</v>
      </c>
      <c r="H31" s="52" t="s">
        <v>188</v>
      </c>
      <c r="I31" s="52" t="s">
        <v>189</v>
      </c>
      <c r="J31" s="52" t="s">
        <v>190</v>
      </c>
      <c r="L31" s="52" t="s">
        <v>191</v>
      </c>
      <c r="O31" s="52" t="s">
        <v>192</v>
      </c>
    </row>
    <row r="32" spans="3:15" ht="18" x14ac:dyDescent="0.25">
      <c r="C32" s="53" t="s">
        <v>193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194</v>
      </c>
      <c r="O32" s="60">
        <v>5</v>
      </c>
    </row>
    <row r="33" spans="3:15" ht="18" x14ac:dyDescent="0.25">
      <c r="C33" s="53" t="s">
        <v>193</v>
      </c>
      <c r="D33" s="70" t="str">
        <f>"y'(" &amp; E33 &amp; ")"</f>
        <v>y'(3)</v>
      </c>
      <c r="E33" s="47">
        <v>3</v>
      </c>
      <c r="F33" s="47"/>
      <c r="G33" s="71">
        <v>1</v>
      </c>
      <c r="H33" s="47">
        <v>0</v>
      </c>
      <c r="I33" s="47">
        <v>-1</v>
      </c>
      <c r="J33" s="72">
        <v>0</v>
      </c>
      <c r="L33" s="63" t="s">
        <v>195</v>
      </c>
      <c r="N33" s="53" t="s">
        <v>196</v>
      </c>
      <c r="O33" s="64">
        <v>0</v>
      </c>
    </row>
    <row r="34" spans="3:15" ht="18" x14ac:dyDescent="0.25">
      <c r="C34" s="53" t="s">
        <v>197</v>
      </c>
      <c r="D34" s="55" t="str">
        <f>"y(" &amp; E34 &amp; ")"</f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198</v>
      </c>
      <c r="O34" s="64">
        <v>6</v>
      </c>
    </row>
    <row r="35" spans="3:15" ht="18" x14ac:dyDescent="0.25">
      <c r="C35" s="53" t="s">
        <v>197</v>
      </c>
      <c r="D35" s="55" t="str">
        <f t="shared" ref="D35" si="2">"y(" &amp; E35 &amp; ")"</f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199</v>
      </c>
      <c r="O35" s="69">
        <v>7</v>
      </c>
    </row>
    <row r="39" spans="3:15" x14ac:dyDescent="0.2">
      <c r="L39" s="52" t="s">
        <v>191</v>
      </c>
      <c r="O39" s="52" t="s">
        <v>191</v>
      </c>
    </row>
    <row r="40" spans="3:15" ht="18" x14ac:dyDescent="0.25">
      <c r="I40" s="52"/>
      <c r="L40" s="59" t="s">
        <v>194</v>
      </c>
      <c r="O40" s="60">
        <f t="array" ref="O40:O43">MMULT(MINVERSE(G32:J35),O32:O35)</f>
        <v>1</v>
      </c>
    </row>
    <row r="41" spans="3:15" ht="18" x14ac:dyDescent="0.25">
      <c r="L41" s="63" t="s">
        <v>195</v>
      </c>
      <c r="N41" s="53" t="s">
        <v>196</v>
      </c>
      <c r="O41" s="64">
        <v>3</v>
      </c>
    </row>
    <row r="42" spans="3:15" ht="18" x14ac:dyDescent="0.25">
      <c r="L42" s="63" t="s">
        <v>198</v>
      </c>
      <c r="O42" s="64">
        <v>1</v>
      </c>
    </row>
    <row r="43" spans="3:15" ht="18" x14ac:dyDescent="0.25">
      <c r="L43" s="68" t="s">
        <v>199</v>
      </c>
      <c r="O43" s="69">
        <v>3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B2:Y33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200</v>
      </c>
    </row>
    <row r="4" spans="2:3" ht="26" x14ac:dyDescent="0.3">
      <c r="C4" s="73"/>
    </row>
    <row r="5" spans="2:3" ht="29" x14ac:dyDescent="0.3">
      <c r="C5" s="73" t="s">
        <v>201</v>
      </c>
    </row>
    <row r="6" spans="2:3" ht="26" x14ac:dyDescent="0.3">
      <c r="C6" s="73"/>
    </row>
    <row r="7" spans="2:3" ht="26" x14ac:dyDescent="0.3">
      <c r="C7" s="73" t="s">
        <v>202</v>
      </c>
    </row>
    <row r="11" spans="2:3" x14ac:dyDescent="0.2">
      <c r="B11" s="55" t="s">
        <v>178</v>
      </c>
      <c r="C11" s="55" t="s">
        <v>179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3" spans="2:25" s="55" customFormat="1" ht="20" x14ac:dyDescent="0.25">
      <c r="B23" s="55" t="s">
        <v>203</v>
      </c>
      <c r="C23" s="55" t="s">
        <v>204</v>
      </c>
      <c r="D23" s="55" t="s">
        <v>186</v>
      </c>
      <c r="F23" s="52" t="s">
        <v>205</v>
      </c>
      <c r="G23" s="52" t="s">
        <v>206</v>
      </c>
      <c r="H23" s="52" t="s">
        <v>187</v>
      </c>
      <c r="I23" s="52" t="s">
        <v>188</v>
      </c>
      <c r="J23" s="52" t="s">
        <v>207</v>
      </c>
      <c r="K23" s="52" t="s">
        <v>208</v>
      </c>
      <c r="L23" s="52" t="s">
        <v>189</v>
      </c>
      <c r="M23" s="52" t="s">
        <v>190</v>
      </c>
      <c r="N23" s="52" t="s">
        <v>209</v>
      </c>
      <c r="O23" s="52" t="s">
        <v>210</v>
      </c>
      <c r="P23" s="52" t="s">
        <v>211</v>
      </c>
      <c r="Q23" s="52" t="s">
        <v>212</v>
      </c>
      <c r="R23" s="52" t="s">
        <v>213</v>
      </c>
      <c r="S23" s="52" t="s">
        <v>214</v>
      </c>
      <c r="T23" s="52" t="s">
        <v>215</v>
      </c>
      <c r="U23" s="52" t="s">
        <v>216</v>
      </c>
      <c r="V23" s="52" t="s">
        <v>217</v>
      </c>
      <c r="W23" s="52" t="s">
        <v>218</v>
      </c>
      <c r="X23" s="52" t="s">
        <v>219</v>
      </c>
      <c r="Y23" s="52" t="s">
        <v>220</v>
      </c>
    </row>
    <row r="24" spans="2:25" x14ac:dyDescent="0.2">
      <c r="B24" s="55" t="s">
        <v>221</v>
      </c>
      <c r="C24" s="74">
        <v>2</v>
      </c>
      <c r="D24" s="74">
        <v>3</v>
      </c>
      <c r="F24" s="75" t="e">
        <f>_xlfn.SINGLE(Time)^3</f>
        <v>#REF!</v>
      </c>
      <c r="G24" s="76" t="e">
        <f>_xlfn.SINGLE(Time)^2</f>
        <v>#REF!</v>
      </c>
      <c r="H24" s="76" t="e">
        <f>_xlfn.SINGLE(Time)^1</f>
        <v>#REF!</v>
      </c>
      <c r="I24" s="76" t="e">
        <f>_xlfn.SINGLE(Time)^0</f>
        <v>#REF!</v>
      </c>
      <c r="J24" s="76">
        <v>0</v>
      </c>
      <c r="K24" s="76">
        <v>0</v>
      </c>
      <c r="L24" s="76">
        <v>0</v>
      </c>
      <c r="M24" s="77">
        <v>0</v>
      </c>
      <c r="N24" s="74">
        <v>0</v>
      </c>
      <c r="O24" s="74">
        <v>0</v>
      </c>
      <c r="P24" s="74">
        <v>0</v>
      </c>
      <c r="Q24" s="74">
        <v>0</v>
      </c>
      <c r="R24" s="74">
        <v>0</v>
      </c>
      <c r="S24" s="74">
        <v>0</v>
      </c>
      <c r="T24" s="74">
        <v>0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</row>
    <row r="25" spans="2:25" x14ac:dyDescent="0.2">
      <c r="B25" s="55" t="s">
        <v>221</v>
      </c>
      <c r="C25" s="74">
        <v>2</v>
      </c>
      <c r="D25" s="74">
        <v>3</v>
      </c>
      <c r="F25" s="78">
        <v>0</v>
      </c>
      <c r="G25" s="74">
        <v>0</v>
      </c>
      <c r="H25" s="74">
        <v>0</v>
      </c>
      <c r="I25" s="74">
        <v>0</v>
      </c>
      <c r="J25" s="74" t="e">
        <f>_xlfn.SINGLE(Time)^3</f>
        <v>#REF!</v>
      </c>
      <c r="K25" s="74" t="e">
        <f>_xlfn.SINGLE(Time)^2</f>
        <v>#REF!</v>
      </c>
      <c r="L25" s="74" t="e">
        <f>_xlfn.SINGLE(Time)^1</f>
        <v>#REF!</v>
      </c>
      <c r="M25" s="79" t="e">
        <f>_xlfn.SINGLE(Time)^0</f>
        <v>#REF!</v>
      </c>
      <c r="N25" s="74">
        <v>0</v>
      </c>
      <c r="O25" s="74">
        <v>0</v>
      </c>
      <c r="P25" s="74">
        <v>0</v>
      </c>
      <c r="Q25" s="74">
        <v>0</v>
      </c>
      <c r="R25" s="74">
        <v>0</v>
      </c>
      <c r="S25" s="74">
        <v>0</v>
      </c>
      <c r="T25" s="74">
        <v>0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</row>
    <row r="26" spans="2:25" x14ac:dyDescent="0.2">
      <c r="B26" s="55" t="s">
        <v>222</v>
      </c>
      <c r="C26" s="74">
        <v>0</v>
      </c>
      <c r="D26" s="74">
        <v>3</v>
      </c>
      <c r="F26" s="78" t="e">
        <f>3*_xlfn.SINGLE(Time)^2</f>
        <v>#REF!</v>
      </c>
      <c r="G26" s="74" t="e">
        <f>2*_xlfn.SINGLE(Time)</f>
        <v>#REF!</v>
      </c>
      <c r="H26" s="74" t="e">
        <f>_xlfn.SINGLE(Time)^0</f>
        <v>#REF!</v>
      </c>
      <c r="I26" s="74">
        <v>0</v>
      </c>
      <c r="J26" s="74" t="e">
        <f>-3*_xlfn.SINGLE(Time)^2</f>
        <v>#REF!</v>
      </c>
      <c r="K26" s="74" t="e">
        <f>-2*_xlfn.SINGLE(Time)</f>
        <v>#REF!</v>
      </c>
      <c r="L26" s="74" t="e">
        <f>-(_xlfn.SINGLE(Time)^0)</f>
        <v>#REF!</v>
      </c>
      <c r="M26" s="79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</row>
    <row r="27" spans="2:25" x14ac:dyDescent="0.2">
      <c r="B27" s="55" t="s">
        <v>223</v>
      </c>
      <c r="C27" s="74">
        <v>0</v>
      </c>
      <c r="D27" s="74">
        <v>3</v>
      </c>
      <c r="F27" s="80" t="e">
        <f>2*3*_xlfn.SINGLE(Time)^1</f>
        <v>#REF!</v>
      </c>
      <c r="G27" s="81" t="e">
        <f>2*_xlfn.SINGLE(Time)^0</f>
        <v>#REF!</v>
      </c>
      <c r="H27" s="81">
        <v>0</v>
      </c>
      <c r="I27" s="81">
        <v>0</v>
      </c>
      <c r="J27" s="81" t="e">
        <f>-2*3*_xlfn.SINGLE(Time)^1</f>
        <v>#REF!</v>
      </c>
      <c r="K27" s="81" t="e">
        <f>-2*_xlfn.SINGLE(Time)^0</f>
        <v>#REF!</v>
      </c>
      <c r="L27" s="81">
        <v>0</v>
      </c>
      <c r="M27" s="82">
        <v>0</v>
      </c>
      <c r="N27" s="74">
        <v>0</v>
      </c>
      <c r="O27" s="74">
        <v>0</v>
      </c>
      <c r="P27" s="74">
        <v>0</v>
      </c>
      <c r="Q27" s="74">
        <v>0</v>
      </c>
      <c r="R27" s="74">
        <v>0</v>
      </c>
      <c r="S27" s="74">
        <v>0</v>
      </c>
      <c r="T27" s="74">
        <v>0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</row>
    <row r="30" spans="2:25" x14ac:dyDescent="0.2">
      <c r="F30" s="52"/>
      <c r="G30" s="52"/>
      <c r="H30" s="52"/>
      <c r="I30" s="52"/>
    </row>
    <row r="31" spans="2:25" x14ac:dyDescent="0.2">
      <c r="F31" s="52"/>
      <c r="G31" s="52"/>
    </row>
    <row r="32" spans="2:25" x14ac:dyDescent="0.2">
      <c r="F32" s="52"/>
      <c r="G32" s="52"/>
    </row>
    <row r="33" spans="6:8" x14ac:dyDescent="0.2">
      <c r="F33" s="52"/>
      <c r="G33" s="52"/>
      <c r="H33" s="5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B2:Y36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200</v>
      </c>
    </row>
    <row r="4" spans="2:3" ht="26" x14ac:dyDescent="0.3">
      <c r="C4" s="73"/>
    </row>
    <row r="5" spans="2:3" ht="29" x14ac:dyDescent="0.3">
      <c r="C5" s="73" t="s">
        <v>201</v>
      </c>
    </row>
    <row r="6" spans="2:3" ht="26" x14ac:dyDescent="0.3">
      <c r="C6" s="73"/>
    </row>
    <row r="7" spans="2:3" ht="26" x14ac:dyDescent="0.3">
      <c r="C7" s="73" t="s">
        <v>202</v>
      </c>
    </row>
    <row r="11" spans="2:3" x14ac:dyDescent="0.2">
      <c r="B11" s="55" t="s">
        <v>178</v>
      </c>
      <c r="C11" s="55" t="s">
        <v>179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4" spans="2:25" s="83" customFormat="1" ht="20" x14ac:dyDescent="0.25">
      <c r="B24" s="83" t="s">
        <v>203</v>
      </c>
      <c r="C24" s="83" t="s">
        <v>204</v>
      </c>
      <c r="D24" s="83" t="s">
        <v>186</v>
      </c>
      <c r="F24" s="84" t="s">
        <v>224</v>
      </c>
      <c r="G24" s="84" t="s">
        <v>225</v>
      </c>
      <c r="H24" s="84" t="s">
        <v>226</v>
      </c>
      <c r="I24" s="84" t="s">
        <v>227</v>
      </c>
      <c r="J24" s="84" t="s">
        <v>228</v>
      </c>
      <c r="K24" s="84" t="s">
        <v>229</v>
      </c>
      <c r="L24" s="84" t="s">
        <v>230</v>
      </c>
      <c r="M24" s="84" t="s">
        <v>231</v>
      </c>
      <c r="N24" s="84" t="s">
        <v>232</v>
      </c>
      <c r="O24" s="84" t="s">
        <v>233</v>
      </c>
      <c r="P24" s="84" t="s">
        <v>234</v>
      </c>
      <c r="Q24" s="84" t="s">
        <v>235</v>
      </c>
      <c r="R24" s="74"/>
      <c r="T24" s="74"/>
      <c r="U24" s="74"/>
      <c r="V24" s="85"/>
      <c r="W24" s="85"/>
      <c r="X24" s="85"/>
      <c r="Y24" s="85"/>
    </row>
    <row r="25" spans="2:25" ht="18" x14ac:dyDescent="0.25">
      <c r="B25" s="55" t="s">
        <v>221</v>
      </c>
      <c r="C25" s="74">
        <v>2</v>
      </c>
      <c r="D25" s="74"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236</v>
      </c>
      <c r="T25" s="74">
        <f t="array" ref="T25:T36">MMULT(MINVERSE(F25:Q36),C25:C36)</f>
        <v>0.86666666666666714</v>
      </c>
    </row>
    <row r="26" spans="2:25" ht="18" x14ac:dyDescent="0.25">
      <c r="B26" s="55" t="s">
        <v>221</v>
      </c>
      <c r="C26" s="74">
        <v>2</v>
      </c>
      <c r="D26" s="74"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237</v>
      </c>
      <c r="T26" s="74">
        <v>-5.1999999999999922</v>
      </c>
    </row>
    <row r="27" spans="2:25" ht="18" x14ac:dyDescent="0.25">
      <c r="B27" s="55" t="s">
        <v>222</v>
      </c>
      <c r="C27" s="74">
        <v>0</v>
      </c>
      <c r="D27" s="74"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194</v>
      </c>
      <c r="T27" s="74">
        <v>10.533333333333299</v>
      </c>
    </row>
    <row r="28" spans="2:25" ht="18" x14ac:dyDescent="0.25">
      <c r="B28" s="55" t="s">
        <v>223</v>
      </c>
      <c r="C28" s="74">
        <v>0</v>
      </c>
      <c r="D28" s="74"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195</v>
      </c>
      <c r="T28" s="74">
        <v>-6.1999999999999789</v>
      </c>
    </row>
    <row r="29" spans="2:25" ht="18" x14ac:dyDescent="0.25">
      <c r="B29" s="55" t="s">
        <v>238</v>
      </c>
      <c r="C29" s="74">
        <v>6</v>
      </c>
      <c r="D29" s="74"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239</v>
      </c>
      <c r="T29" s="74">
        <v>-1.3333333333333339</v>
      </c>
    </row>
    <row r="30" spans="2:25" ht="18" x14ac:dyDescent="0.25">
      <c r="B30" s="55" t="s">
        <v>238</v>
      </c>
      <c r="C30" s="74"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240</v>
      </c>
      <c r="T30" s="74">
        <v>14.600000000000019</v>
      </c>
    </row>
    <row r="31" spans="2:25" ht="18" x14ac:dyDescent="0.25">
      <c r="B31" s="55" t="s">
        <v>241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198</v>
      </c>
      <c r="T31" s="74">
        <v>-48.86666666666676</v>
      </c>
    </row>
    <row r="32" spans="2:25" ht="18" x14ac:dyDescent="0.25">
      <c r="B32" s="55" t="s">
        <v>242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199</v>
      </c>
      <c r="T32" s="74">
        <v>53.200000000000088</v>
      </c>
    </row>
    <row r="33" spans="2:20" ht="18" x14ac:dyDescent="0.25">
      <c r="B33" s="55" t="s">
        <v>243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244</v>
      </c>
      <c r="T33" s="74">
        <v>0.4666666666666659</v>
      </c>
    </row>
    <row r="34" spans="2:20" ht="18" x14ac:dyDescent="0.25">
      <c r="B34" s="55" t="s">
        <v>245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246</v>
      </c>
      <c r="T34" s="74">
        <v>-6.9999999999999929</v>
      </c>
    </row>
    <row r="35" spans="2:20" ht="18" x14ac:dyDescent="0.25">
      <c r="B35" s="55" t="s">
        <v>247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248</v>
      </c>
      <c r="T35" s="74">
        <v>37.533333333333303</v>
      </c>
    </row>
    <row r="36" spans="2:20" ht="18" x14ac:dyDescent="0.25">
      <c r="B36" s="55" t="s">
        <v>249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250</v>
      </c>
      <c r="T36" s="74">
        <v>-61.999999999999943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1" spans="1:29" x14ac:dyDescent="0.2">
      <c r="A1" s="74" t="s">
        <v>251</v>
      </c>
    </row>
    <row r="2" spans="1:29" s="73" customFormat="1" ht="26" x14ac:dyDescent="0.3"/>
    <row r="3" spans="1:29" ht="29" x14ac:dyDescent="0.3">
      <c r="C3" s="73" t="s">
        <v>200</v>
      </c>
    </row>
    <row r="4" spans="1:29" ht="26" x14ac:dyDescent="0.3">
      <c r="C4" s="73"/>
    </row>
    <row r="5" spans="1:29" ht="29" x14ac:dyDescent="0.3">
      <c r="C5" s="73" t="s">
        <v>201</v>
      </c>
    </row>
    <row r="6" spans="1:29" ht="26" x14ac:dyDescent="0.3">
      <c r="C6" s="73"/>
    </row>
    <row r="7" spans="1:29" ht="26" x14ac:dyDescent="0.3">
      <c r="C7" s="73" t="s">
        <v>202</v>
      </c>
      <c r="AA7" s="55" t="s">
        <v>252</v>
      </c>
      <c r="AB7" s="55" t="s">
        <v>178</v>
      </c>
      <c r="AC7" s="55"/>
    </row>
    <row r="8" spans="1:29" x14ac:dyDescent="0.2">
      <c r="AA8" s="74">
        <f>ROUNDDOWN(AB8,0)-1</f>
        <v>1</v>
      </c>
      <c r="AB8" s="74">
        <v>2</v>
      </c>
      <c r="AC8" s="89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74">
        <f t="shared" ref="AA9:AA37" si="1">ROUNDDOWN(AB9,0)-1</f>
        <v>1</v>
      </c>
      <c r="AB9" s="74">
        <v>2.1</v>
      </c>
      <c r="AC9" s="89">
        <f t="shared" ca="1" si="0"/>
        <v>1.9706000000000174</v>
      </c>
    </row>
    <row r="10" spans="1:29" x14ac:dyDescent="0.2">
      <c r="AA10" s="74">
        <f t="shared" si="1"/>
        <v>1</v>
      </c>
      <c r="AB10" s="74">
        <v>2.2000000000000002</v>
      </c>
      <c r="AC10" s="89">
        <f t="shared" ca="1" si="0"/>
        <v>2.9248000000000105</v>
      </c>
    </row>
    <row r="11" spans="1:29" x14ac:dyDescent="0.2">
      <c r="B11" s="55" t="s">
        <v>178</v>
      </c>
      <c r="C11" s="55" t="s">
        <v>179</v>
      </c>
      <c r="AA11" s="74">
        <f t="shared" si="1"/>
        <v>1</v>
      </c>
      <c r="AB11" s="74">
        <v>2.2999999999999998</v>
      </c>
      <c r="AC11" s="89">
        <f t="shared" ca="1" si="0"/>
        <v>3.8462000000000161</v>
      </c>
    </row>
    <row r="12" spans="1:29" x14ac:dyDescent="0.2">
      <c r="B12" s="74">
        <v>2</v>
      </c>
      <c r="C12" s="74">
        <v>1</v>
      </c>
      <c r="AA12" s="74">
        <f t="shared" si="1"/>
        <v>1</v>
      </c>
      <c r="AB12" s="74">
        <v>2.4</v>
      </c>
      <c r="AC12" s="89">
        <f t="shared" ca="1" si="0"/>
        <v>4.718400000000015</v>
      </c>
    </row>
    <row r="13" spans="1:29" x14ac:dyDescent="0.2">
      <c r="B13" s="74">
        <v>3</v>
      </c>
      <c r="C13" s="74">
        <v>8</v>
      </c>
      <c r="AA13" s="74">
        <f t="shared" si="1"/>
        <v>1</v>
      </c>
      <c r="AB13" s="74">
        <v>2.5</v>
      </c>
      <c r="AC13" s="89">
        <f t="shared" ca="1" si="0"/>
        <v>5.5250000000000181</v>
      </c>
    </row>
    <row r="14" spans="1:29" x14ac:dyDescent="0.2">
      <c r="B14" s="74">
        <v>4</v>
      </c>
      <c r="C14" s="74">
        <v>6</v>
      </c>
      <c r="AA14" s="74">
        <f t="shared" si="1"/>
        <v>1</v>
      </c>
      <c r="AB14" s="74">
        <v>2.6</v>
      </c>
      <c r="AC14" s="89">
        <f t="shared" ca="1" si="0"/>
        <v>6.2496000000000063</v>
      </c>
    </row>
    <row r="15" spans="1:29" x14ac:dyDescent="0.2">
      <c r="B15" s="74">
        <v>5</v>
      </c>
      <c r="C15" s="74">
        <v>9</v>
      </c>
      <c r="AA15" s="74">
        <f t="shared" si="1"/>
        <v>1</v>
      </c>
      <c r="AB15" s="74">
        <v>2.7</v>
      </c>
      <c r="AC15" s="89">
        <f t="shared" ca="1" si="0"/>
        <v>6.8758000000000177</v>
      </c>
    </row>
    <row r="16" spans="1:29" x14ac:dyDescent="0.2">
      <c r="AA16" s="74">
        <f t="shared" si="1"/>
        <v>1</v>
      </c>
      <c r="AB16" s="74">
        <v>2.8</v>
      </c>
      <c r="AC16" s="89">
        <f t="shared" ca="1" si="0"/>
        <v>7.3871999999999982</v>
      </c>
    </row>
    <row r="17" spans="2:29" x14ac:dyDescent="0.2">
      <c r="AA17" s="74">
        <f t="shared" si="1"/>
        <v>1</v>
      </c>
      <c r="AB17" s="74">
        <v>2.9</v>
      </c>
      <c r="AC17" s="89">
        <f t="shared" ca="1" si="0"/>
        <v>7.7674000000000145</v>
      </c>
    </row>
    <row r="18" spans="2:29" x14ac:dyDescent="0.2">
      <c r="AA18" s="74">
        <f t="shared" si="1"/>
        <v>2</v>
      </c>
      <c r="AB18" s="74">
        <v>3</v>
      </c>
      <c r="AC18" s="89">
        <f t="shared" ca="1" si="0"/>
        <v>8.0000000000001137</v>
      </c>
    </row>
    <row r="19" spans="2:29" x14ac:dyDescent="0.2">
      <c r="AA19" s="74">
        <f t="shared" si="1"/>
        <v>2</v>
      </c>
      <c r="AB19" s="74">
        <v>3.1</v>
      </c>
      <c r="AC19" s="89">
        <f t="shared" ca="1" si="0"/>
        <v>8.075999999999965</v>
      </c>
    </row>
    <row r="20" spans="2:29" x14ac:dyDescent="0.2">
      <c r="AA20" s="74">
        <f t="shared" si="1"/>
        <v>2</v>
      </c>
      <c r="AB20" s="74">
        <v>3.2</v>
      </c>
      <c r="AC20" s="89">
        <f t="shared" ca="1" si="0"/>
        <v>8.0160000000000196</v>
      </c>
    </row>
    <row r="21" spans="2:29" x14ac:dyDescent="0.2">
      <c r="AA21" s="74">
        <f t="shared" si="1"/>
        <v>2</v>
      </c>
      <c r="AB21" s="74">
        <v>3.3</v>
      </c>
      <c r="AC21" s="89">
        <f t="shared" ca="1" si="0"/>
        <v>7.84800000000007</v>
      </c>
    </row>
    <row r="22" spans="2:29" x14ac:dyDescent="0.2">
      <c r="AA22" s="74">
        <f t="shared" si="1"/>
        <v>2</v>
      </c>
      <c r="AB22" s="74">
        <v>3.4</v>
      </c>
      <c r="AC22" s="89">
        <f t="shared" ca="1" si="0"/>
        <v>7.5999999999999659</v>
      </c>
    </row>
    <row r="23" spans="2:29" x14ac:dyDescent="0.2">
      <c r="AA23" s="74">
        <f t="shared" si="1"/>
        <v>2</v>
      </c>
      <c r="AB23" s="74">
        <v>3.5</v>
      </c>
      <c r="AC23" s="89">
        <f t="shared" ca="1" si="0"/>
        <v>7.3000000000000682</v>
      </c>
    </row>
    <row r="24" spans="2:29" s="83" customFormat="1" ht="20" x14ac:dyDescent="0.25">
      <c r="B24" s="83" t="s">
        <v>203</v>
      </c>
      <c r="C24" s="83" t="s">
        <v>204</v>
      </c>
      <c r="D24" s="83" t="s">
        <v>186</v>
      </c>
      <c r="F24" s="84" t="s">
        <v>224</v>
      </c>
      <c r="G24" s="84" t="s">
        <v>225</v>
      </c>
      <c r="H24" s="84" t="s">
        <v>226</v>
      </c>
      <c r="I24" s="84" t="s">
        <v>227</v>
      </c>
      <c r="J24" s="84" t="s">
        <v>228</v>
      </c>
      <c r="K24" s="84" t="s">
        <v>229</v>
      </c>
      <c r="L24" s="84" t="s">
        <v>230</v>
      </c>
      <c r="M24" s="84" t="s">
        <v>231</v>
      </c>
      <c r="N24" s="84" t="s">
        <v>232</v>
      </c>
      <c r="O24" s="84" t="s">
        <v>233</v>
      </c>
      <c r="P24" s="84" t="s">
        <v>234</v>
      </c>
      <c r="Q24" s="84" t="s">
        <v>235</v>
      </c>
      <c r="R24" s="74"/>
      <c r="T24" s="74"/>
      <c r="U24" s="74"/>
      <c r="V24" s="85"/>
      <c r="W24" s="85"/>
      <c r="X24" s="85"/>
      <c r="Y24" s="85"/>
      <c r="AA24" s="74">
        <f t="shared" si="1"/>
        <v>2</v>
      </c>
      <c r="AB24" s="74">
        <v>3.6</v>
      </c>
      <c r="AC24" s="89">
        <f t="shared" ca="1" si="0"/>
        <v>6.9759999999999991</v>
      </c>
    </row>
    <row r="25" spans="2:29" ht="18" x14ac:dyDescent="0.25">
      <c r="B25" s="55" t="s">
        <v>221</v>
      </c>
      <c r="C25" s="74">
        <f>VLOOKUP(D25,$B$12:$C$15,2,0)</f>
        <v>8</v>
      </c>
      <c r="D25" s="74">
        <f>$B$13</f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236</v>
      </c>
      <c r="T25" s="74">
        <f t="array" ref="T25:T36">MMULT(MINVERSE(F25:Q36),value)</f>
        <v>-2.7333333333333303</v>
      </c>
      <c r="AA25" s="74">
        <f t="shared" si="1"/>
        <v>2</v>
      </c>
      <c r="AB25" s="74">
        <v>3.7</v>
      </c>
      <c r="AC25" s="89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55" t="s">
        <v>221</v>
      </c>
      <c r="C26" s="74">
        <f>VLOOKUP(D26,$B$12:$C$15,2,0)</f>
        <v>8</v>
      </c>
      <c r="D26" s="74">
        <f>$B$13</f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237</v>
      </c>
      <c r="T26" s="74">
        <v>16.39999999999997</v>
      </c>
      <c r="AA26" s="74">
        <f t="shared" si="1"/>
        <v>2</v>
      </c>
      <c r="AB26" s="74">
        <v>3.8</v>
      </c>
      <c r="AC26" s="89">
        <f t="shared" ca="1" si="2"/>
        <v>6.367999999999995</v>
      </c>
    </row>
    <row r="27" spans="2:29" ht="18" x14ac:dyDescent="0.25">
      <c r="B27" s="55" t="s">
        <v>222</v>
      </c>
      <c r="C27" s="74">
        <v>0</v>
      </c>
      <c r="D27" s="74">
        <f>$B$13</f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194</v>
      </c>
      <c r="T27" s="74">
        <v>-23.066666666666581</v>
      </c>
      <c r="AA27" s="74">
        <f t="shared" si="1"/>
        <v>2</v>
      </c>
      <c r="AB27" s="74">
        <v>3.9</v>
      </c>
      <c r="AC27" s="89">
        <f t="shared" ca="1" si="2"/>
        <v>6.1399999999999864</v>
      </c>
    </row>
    <row r="28" spans="2:29" ht="18" x14ac:dyDescent="0.25">
      <c r="B28" s="55" t="s">
        <v>223</v>
      </c>
      <c r="C28" s="74">
        <v>0</v>
      </c>
      <c r="D28" s="74">
        <f>$B$13</f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195</v>
      </c>
      <c r="T28" s="74">
        <v>3.3999999999999404</v>
      </c>
      <c r="AA28" s="74">
        <f t="shared" si="1"/>
        <v>3</v>
      </c>
      <c r="AB28" s="74">
        <v>4</v>
      </c>
      <c r="AC28" s="89">
        <f t="shared" ca="1" si="2"/>
        <v>5.9999999999999716</v>
      </c>
    </row>
    <row r="29" spans="2:29" ht="18" x14ac:dyDescent="0.25">
      <c r="B29" s="55" t="s">
        <v>238</v>
      </c>
      <c r="C29" s="74">
        <f>VLOOKUP(D29,$B$12:$C$15,2,0)</f>
        <v>6</v>
      </c>
      <c r="D29" s="74">
        <f t="array" ref="D29:D32">B14</f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239</v>
      </c>
      <c r="T29" s="74">
        <v>4.6666666666666661</v>
      </c>
      <c r="AA29" s="74">
        <f t="shared" si="1"/>
        <v>3</v>
      </c>
      <c r="AB29" s="74">
        <v>4.0999999999999996</v>
      </c>
      <c r="AC29" s="89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55" t="s">
        <v>238</v>
      </c>
      <c r="C30" s="74">
        <f>VLOOKUP(D30,$B$12:$C$15,2,0)</f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240</v>
      </c>
      <c r="T30" s="74">
        <v>-50.2</v>
      </c>
      <c r="AA30" s="74">
        <f t="shared" si="1"/>
        <v>3</v>
      </c>
      <c r="AB30" s="74">
        <v>4.2</v>
      </c>
      <c r="AC30" s="89">
        <f t="shared" ca="1" si="3"/>
        <v>6.0431999999999277</v>
      </c>
    </row>
    <row r="31" spans="2:29" ht="18" x14ac:dyDescent="0.25">
      <c r="B31" s="55" t="s">
        <v>241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198</v>
      </c>
      <c r="T31" s="74">
        <v>176.73333333333338</v>
      </c>
      <c r="AA31" s="74">
        <f t="shared" si="1"/>
        <v>3</v>
      </c>
      <c r="AB31" s="74">
        <v>4.3</v>
      </c>
      <c r="AC31" s="89">
        <f t="shared" ca="1" si="3"/>
        <v>6.2098000000000013</v>
      </c>
    </row>
    <row r="32" spans="2:29" ht="18" x14ac:dyDescent="0.25">
      <c r="B32" s="55" t="s">
        <v>242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199</v>
      </c>
      <c r="T32" s="74">
        <v>-196.40000000000003</v>
      </c>
      <c r="AA32" s="74">
        <f t="shared" si="1"/>
        <v>3</v>
      </c>
      <c r="AB32" s="74">
        <v>4.4000000000000004</v>
      </c>
      <c r="AC32" s="89">
        <f t="shared" ca="1" si="3"/>
        <v>6.4575999999999851</v>
      </c>
    </row>
    <row r="33" spans="2:29" ht="18" x14ac:dyDescent="0.25">
      <c r="B33" s="55" t="s">
        <v>243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244</v>
      </c>
      <c r="T33" s="74">
        <v>-1.9333333333333318</v>
      </c>
      <c r="AA33" s="74">
        <f t="shared" si="1"/>
        <v>3</v>
      </c>
      <c r="AB33" s="74">
        <v>4.5</v>
      </c>
      <c r="AC33" s="89">
        <f t="shared" ca="1" si="3"/>
        <v>6.774999999999892</v>
      </c>
    </row>
    <row r="34" spans="2:29" ht="18" x14ac:dyDescent="0.25">
      <c r="B34" s="55" t="s">
        <v>245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246</v>
      </c>
      <c r="T34" s="74">
        <v>28.999999999999961</v>
      </c>
      <c r="AA34" s="74">
        <f t="shared" si="1"/>
        <v>3</v>
      </c>
      <c r="AB34" s="74">
        <v>4.5999999999999996</v>
      </c>
      <c r="AC34" s="89">
        <f t="shared" ca="1" si="3"/>
        <v>7.1503999999999053</v>
      </c>
    </row>
    <row r="35" spans="2:29" ht="18" x14ac:dyDescent="0.25">
      <c r="B35" s="55" t="s">
        <v>247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248</v>
      </c>
      <c r="T35" s="74">
        <v>-140.06666666666649</v>
      </c>
      <c r="AA35" s="74">
        <f t="shared" si="1"/>
        <v>3</v>
      </c>
      <c r="AB35" s="74">
        <v>4.7</v>
      </c>
      <c r="AC35" s="89">
        <f t="shared" ca="1" si="3"/>
        <v>7.5721999999998673</v>
      </c>
    </row>
    <row r="36" spans="2:29" ht="18" x14ac:dyDescent="0.25">
      <c r="B36" s="55" t="s">
        <v>249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250</v>
      </c>
      <c r="T36" s="74">
        <v>225.9999999999998</v>
      </c>
      <c r="AA36" s="74">
        <f t="shared" si="1"/>
        <v>3</v>
      </c>
      <c r="AB36" s="74">
        <v>4.8</v>
      </c>
      <c r="AC36" s="89">
        <f t="shared" ca="1" si="3"/>
        <v>8.0287999999999045</v>
      </c>
    </row>
    <row r="37" spans="2:29" x14ac:dyDescent="0.2">
      <c r="AA37" s="74">
        <f t="shared" si="1"/>
        <v>3</v>
      </c>
      <c r="AB37" s="74">
        <v>4.9000000000000004</v>
      </c>
      <c r="AC37" s="89">
        <f t="shared" ca="1" si="3"/>
        <v>8.5085999999998592</v>
      </c>
    </row>
    <row r="38" spans="2:29" x14ac:dyDescent="0.2">
      <c r="AA38" s="74">
        <v>3</v>
      </c>
      <c r="AB38" s="74">
        <v>5</v>
      </c>
      <c r="AC38" s="89">
        <f t="shared" ca="1" si="3"/>
        <v>8.999999999999801</v>
      </c>
    </row>
    <row r="39" spans="2:29" s="55" customFormat="1" x14ac:dyDescent="0.2"/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178</v>
      </c>
      <c r="C11" s="55" t="s">
        <v>179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203</v>
      </c>
      <c r="C27" s="83" t="s">
        <v>204</v>
      </c>
      <c r="D27" s="83" t="s">
        <v>186</v>
      </c>
      <c r="F27" s="92" t="s">
        <v>253</v>
      </c>
      <c r="G27" s="92" t="s">
        <v>254</v>
      </c>
      <c r="H27" s="92" t="s">
        <v>255</v>
      </c>
      <c r="I27" s="92" t="s">
        <v>256</v>
      </c>
      <c r="J27" s="92" t="s">
        <v>257</v>
      </c>
      <c r="K27" s="92" t="s">
        <v>258</v>
      </c>
      <c r="L27" s="92" t="s">
        <v>259</v>
      </c>
      <c r="M27" s="92" t="s">
        <v>260</v>
      </c>
      <c r="N27" s="92" t="s">
        <v>261</v>
      </c>
      <c r="O27" s="92" t="s">
        <v>262</v>
      </c>
      <c r="P27" s="92" t="s">
        <v>263</v>
      </c>
      <c r="Q27" s="92" t="s">
        <v>264</v>
      </c>
      <c r="R27" s="92" t="s">
        <v>265</v>
      </c>
      <c r="S27" s="92" t="s">
        <v>266</v>
      </c>
      <c r="T27" s="92" t="s">
        <v>267</v>
      </c>
      <c r="U27" s="92" t="s">
        <v>268</v>
      </c>
      <c r="V27" s="92" t="s">
        <v>269</v>
      </c>
      <c r="W27" s="92" t="s">
        <v>270</v>
      </c>
      <c r="X27" s="92" t="s">
        <v>271</v>
      </c>
      <c r="Y27" s="92" t="s">
        <v>272</v>
      </c>
      <c r="Z27" s="92" t="s">
        <v>273</v>
      </c>
      <c r="AA27" s="92" t="s">
        <v>274</v>
      </c>
      <c r="AB27" s="92" t="s">
        <v>275</v>
      </c>
      <c r="AC27" s="92" t="s">
        <v>276</v>
      </c>
      <c r="AD27" s="92" t="s">
        <v>277</v>
      </c>
      <c r="AE27" s="92" t="s">
        <v>278</v>
      </c>
      <c r="AF27" s="92" t="s">
        <v>279</v>
      </c>
      <c r="AG27" s="92" t="s">
        <v>280</v>
      </c>
      <c r="AH27" s="92" t="s">
        <v>281</v>
      </c>
      <c r="AI27" s="92" t="s">
        <v>282</v>
      </c>
      <c r="AJ27" s="92" t="s">
        <v>283</v>
      </c>
      <c r="AK27" s="92" t="s">
        <v>284</v>
      </c>
      <c r="AL27" s="93"/>
      <c r="AM27" s="93"/>
      <c r="AN27" s="83" t="s">
        <v>285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f t="array" ref="AN28:AN59">MMULT(MINVERSE(dmat),value)</f>
        <v>2.2001428227434448E-4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0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1.9779985717725733E-2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-7.839151029209042E-17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-3.2307753313717503E-3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1.0352368840938287E-2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9.4276168767874532E-3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3.4507896136459714E-3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3.7802044632124329E-3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-3.1713509926566665E-2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9.3559374411797319E-2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-5.2637048743027472E-2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-8.3645602147852454E-4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9.8364344356520125E-3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-3.109045867485917E-2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7.2012784343629788E-2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-4.3438037729781614E-4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5.0115267054838229E-3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-1.1790827754186996E-2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4.6279943116066397E-2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1.67575423663407E-4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-4.0178103089348847E-3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3.3355857317907869E-2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-2.8964532004091593E-2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5.8029988667057242E-5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-1.7173561740115328E-3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1.7252678373443606E-2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8.6095521996589208E-3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286</v>
      </c>
      <c r="AN56" s="98">
        <v>-3.9239143333689845E-7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287</v>
      </c>
      <c r="AN57" s="98">
        <v>3.5315229000323055E-5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-2.7403565667492077E-4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6.7031932300053887E-2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3:43" x14ac:dyDescent="0.2">
      <c r="AO97" s="74"/>
      <c r="AP97" s="74"/>
      <c r="AQ97" s="74"/>
    </row>
    <row r="98" spans="3:43" x14ac:dyDescent="0.2">
      <c r="AO98" s="74"/>
      <c r="AP98" s="74"/>
      <c r="AQ98" s="74"/>
    </row>
    <row r="99" spans="3:43" s="55" customFormat="1" x14ac:dyDescent="0.2">
      <c r="C99" s="55" t="s">
        <v>252</v>
      </c>
      <c r="D99" s="55" t="s">
        <v>288</v>
      </c>
      <c r="E99" s="55" t="s">
        <v>289</v>
      </c>
      <c r="AO99" s="74"/>
      <c r="AP99" s="74"/>
      <c r="AQ99" s="74"/>
    </row>
    <row r="100" spans="3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-7.839151029209042E-17</v>
      </c>
      <c r="AO100" s="74"/>
      <c r="AP100" s="74"/>
      <c r="AQ100" s="74"/>
    </row>
    <row r="101" spans="3:43" x14ac:dyDescent="0.2">
      <c r="C101" s="74">
        <v>1</v>
      </c>
      <c r="D101" s="74">
        <v>0.1</v>
      </c>
      <c r="E101" s="114">
        <f t="shared" ca="1" si="26"/>
        <v>1.9782185860547689E-3</v>
      </c>
      <c r="AO101" s="74"/>
      <c r="AP101" s="74"/>
      <c r="AQ101" s="74"/>
    </row>
    <row r="102" spans="3:43" x14ac:dyDescent="0.2">
      <c r="C102" s="74">
        <v>1</v>
      </c>
      <c r="D102" s="74">
        <v>0.2</v>
      </c>
      <c r="E102" s="114">
        <f t="shared" ca="1" si="26"/>
        <v>3.9577572578032632E-3</v>
      </c>
      <c r="AO102" s="74"/>
      <c r="AP102" s="74"/>
      <c r="AQ102" s="74"/>
    </row>
    <row r="103" spans="3:43" x14ac:dyDescent="0.2">
      <c r="C103" s="74">
        <v>1</v>
      </c>
      <c r="D103" s="74">
        <v>0.3</v>
      </c>
      <c r="E103" s="114">
        <f t="shared" ca="1" si="26"/>
        <v>5.9399361009390495E-3</v>
      </c>
      <c r="AO103" s="74"/>
      <c r="AP103" s="74"/>
      <c r="AQ103" s="74"/>
    </row>
    <row r="104" spans="3:43" x14ac:dyDescent="0.2">
      <c r="C104" s="74">
        <v>1</v>
      </c>
      <c r="D104" s="74">
        <v>0.4</v>
      </c>
      <c r="E104" s="114">
        <f t="shared" ca="1" si="26"/>
        <v>7.926075201155772E-3</v>
      </c>
      <c r="AO104" s="74"/>
      <c r="AP104" s="74"/>
      <c r="AQ104" s="74"/>
    </row>
    <row r="105" spans="3:43" x14ac:dyDescent="0.2">
      <c r="C105" s="74">
        <v>1</v>
      </c>
      <c r="D105" s="74">
        <v>0.5</v>
      </c>
      <c r="E105" s="114">
        <f t="shared" ca="1" si="26"/>
        <v>9.9174946441470818E-3</v>
      </c>
      <c r="AO105" s="74"/>
      <c r="AP105" s="74"/>
      <c r="AQ105" s="74"/>
    </row>
    <row r="106" spans="3:43" x14ac:dyDescent="0.2">
      <c r="C106" s="74">
        <v>1</v>
      </c>
      <c r="D106" s="74">
        <v>0.6</v>
      </c>
      <c r="E106" s="114">
        <f t="shared" ca="1" si="26"/>
        <v>1.191551451560662E-2</v>
      </c>
      <c r="AO106" s="74"/>
      <c r="AP106" s="74"/>
      <c r="AQ106" s="74"/>
    </row>
    <row r="107" spans="3:43" x14ac:dyDescent="0.2">
      <c r="C107" s="74">
        <v>1</v>
      </c>
      <c r="D107" s="74">
        <v>0.7</v>
      </c>
      <c r="E107" s="114">
        <f t="shared" ca="1" si="26"/>
        <v>1.3921454901228035E-2</v>
      </c>
      <c r="AO107" s="74"/>
      <c r="AP107" s="74"/>
      <c r="AQ107" s="74"/>
    </row>
    <row r="108" spans="3:43" x14ac:dyDescent="0.2">
      <c r="C108" s="74">
        <v>1</v>
      </c>
      <c r="D108" s="74">
        <v>0.8</v>
      </c>
      <c r="E108" s="114">
        <f t="shared" ca="1" si="26"/>
        <v>1.5936635886704971E-2</v>
      </c>
      <c r="AO108" s="74"/>
      <c r="AP108" s="74"/>
      <c r="AQ108" s="74"/>
    </row>
    <row r="109" spans="3:43" x14ac:dyDescent="0.2">
      <c r="C109" s="74">
        <v>1</v>
      </c>
      <c r="D109" s="74">
        <v>0.9</v>
      </c>
      <c r="E109" s="114">
        <f t="shared" ca="1" si="26"/>
        <v>1.7962377557731078E-2</v>
      </c>
      <c r="AO109" s="74"/>
      <c r="AP109" s="74"/>
      <c r="AQ109" s="74"/>
    </row>
    <row r="110" spans="3:43" x14ac:dyDescent="0.2">
      <c r="C110" s="74">
        <v>2</v>
      </c>
      <c r="D110" s="74">
        <v>1</v>
      </c>
      <c r="E110" s="114">
        <f t="shared" ca="1" si="26"/>
        <v>1.9999999999999959E-2</v>
      </c>
      <c r="F110" s="113"/>
      <c r="G110" s="115"/>
      <c r="AO110" s="74"/>
      <c r="AP110" s="74"/>
      <c r="AQ110" s="74"/>
    </row>
    <row r="111" spans="3:43" x14ac:dyDescent="0.2">
      <c r="C111" s="74">
        <v>2</v>
      </c>
      <c r="D111" s="74">
        <v>1.1000000000000001</v>
      </c>
      <c r="E111" s="114">
        <f t="shared" ca="1" si="26"/>
        <v>2.2047372509591698E-2</v>
      </c>
      <c r="AO111" s="74"/>
      <c r="AP111" s="74"/>
      <c r="AQ111" s="74"/>
    </row>
    <row r="112" spans="3:43" x14ac:dyDescent="0.2">
      <c r="C112" s="74">
        <v>2</v>
      </c>
      <c r="D112" s="74">
        <v>1.2</v>
      </c>
      <c r="E112" s="114">
        <f t="shared" ca="1" si="26"/>
        <v>2.4088561224131659E-2</v>
      </c>
      <c r="AO112" s="74"/>
      <c r="AP112" s="74"/>
      <c r="AQ112" s="74"/>
    </row>
    <row r="113" spans="3:6" s="74" customFormat="1" x14ac:dyDescent="0.2">
      <c r="C113" s="74">
        <v>2</v>
      </c>
      <c r="D113" s="74">
        <v>1.3</v>
      </c>
      <c r="E113" s="114">
        <f t="shared" ca="1" si="26"/>
        <v>2.6104181491631628E-2</v>
      </c>
    </row>
    <row r="114" spans="3:6" s="74" customFormat="1" x14ac:dyDescent="0.2">
      <c r="C114" s="74">
        <v>2</v>
      </c>
      <c r="D114" s="74">
        <v>1.4</v>
      </c>
      <c r="E114" s="114">
        <f t="shared" ca="1" si="26"/>
        <v>2.807484866010336E-2</v>
      </c>
    </row>
    <row r="115" spans="3:6" s="74" customFormat="1" x14ac:dyDescent="0.2">
      <c r="C115" s="74">
        <v>2</v>
      </c>
      <c r="D115" s="74">
        <v>1.5</v>
      </c>
      <c r="E115" s="114">
        <f t="shared" ca="1" si="26"/>
        <v>2.9981178077558637E-2</v>
      </c>
    </row>
    <row r="116" spans="3:6" s="74" customFormat="1" x14ac:dyDescent="0.2">
      <c r="C116" s="74">
        <v>2</v>
      </c>
      <c r="D116" s="74">
        <v>1.6</v>
      </c>
      <c r="E116" s="114">
        <f t="shared" ca="1" si="26"/>
        <v>3.1803785092009228E-2</v>
      </c>
    </row>
    <row r="117" spans="3:6" s="74" customFormat="1" x14ac:dyDescent="0.2">
      <c r="C117" s="74">
        <v>2</v>
      </c>
      <c r="D117" s="74">
        <v>1.7</v>
      </c>
      <c r="E117" s="114">
        <f t="shared" ca="1" si="26"/>
        <v>3.3523285051466879E-2</v>
      </c>
    </row>
    <row r="118" spans="3:6" s="74" customFormat="1" x14ac:dyDescent="0.2">
      <c r="C118" s="74">
        <v>2</v>
      </c>
      <c r="D118" s="74">
        <v>1.8</v>
      </c>
      <c r="E118" s="114">
        <f t="shared" ca="1" si="26"/>
        <v>3.5120293303943388E-2</v>
      </c>
    </row>
    <row r="119" spans="3:6" s="74" customFormat="1" x14ac:dyDescent="0.2">
      <c r="C119" s="74">
        <v>2</v>
      </c>
      <c r="D119" s="74">
        <v>1.9</v>
      </c>
      <c r="E119" s="114">
        <f t="shared" ca="1" si="26"/>
        <v>3.6575425197450516E-2</v>
      </c>
    </row>
    <row r="120" spans="3:6" s="74" customFormat="1" x14ac:dyDescent="0.2">
      <c r="C120" s="74">
        <v>3</v>
      </c>
      <c r="D120" s="74">
        <v>2</v>
      </c>
      <c r="E120" s="114">
        <f t="shared" ca="1" si="26"/>
        <v>3.7869296079999969E-2</v>
      </c>
      <c r="F120" s="113"/>
    </row>
    <row r="121" spans="3:6" s="74" customFormat="1" x14ac:dyDescent="0.2">
      <c r="C121" s="74">
        <v>3</v>
      </c>
      <c r="D121" s="74">
        <v>2.1</v>
      </c>
      <c r="E121" s="114">
        <f t="shared" ca="1" si="26"/>
        <v>3.8989532279398241E-2</v>
      </c>
    </row>
    <row r="122" spans="3:6" s="74" customFormat="1" x14ac:dyDescent="0.2">
      <c r="C122" s="74">
        <v>3</v>
      </c>
      <c r="D122" s="74">
        <v>2.2000000000000002</v>
      </c>
      <c r="E122" s="114">
        <f t="shared" ca="1" si="26"/>
        <v>3.9951804042629969E-2</v>
      </c>
    </row>
    <row r="123" spans="3:6" s="74" customFormat="1" x14ac:dyDescent="0.2">
      <c r="C123" s="74">
        <v>3</v>
      </c>
      <c r="D123" s="74">
        <v>2.2999999999999998</v>
      </c>
      <c r="E123" s="114">
        <f t="shared" ca="1" si="26"/>
        <v>4.0778792596474399E-2</v>
      </c>
    </row>
    <row r="124" spans="3:6" s="74" customFormat="1" x14ac:dyDescent="0.2">
      <c r="C124" s="74">
        <v>3</v>
      </c>
      <c r="D124" s="74">
        <v>2.4</v>
      </c>
      <c r="E124" s="114">
        <f t="shared" ca="1" si="26"/>
        <v>4.1493179167710774E-2</v>
      </c>
    </row>
    <row r="125" spans="3:6" s="74" customFormat="1" x14ac:dyDescent="0.2">
      <c r="C125" s="74">
        <v>3</v>
      </c>
      <c r="D125" s="74">
        <v>2.5</v>
      </c>
      <c r="E125" s="114">
        <f t="shared" ca="1" si="26"/>
        <v>4.2117644983118423E-2</v>
      </c>
    </row>
    <row r="126" spans="3:6" s="74" customFormat="1" x14ac:dyDescent="0.2">
      <c r="C126" s="74">
        <v>3</v>
      </c>
      <c r="D126" s="74">
        <v>2.6</v>
      </c>
      <c r="E126" s="114">
        <f t="shared" ca="1" si="26"/>
        <v>4.2674871269476632E-2</v>
      </c>
    </row>
    <row r="127" spans="3:6" s="74" customFormat="1" x14ac:dyDescent="0.2">
      <c r="C127" s="74">
        <v>3</v>
      </c>
      <c r="D127" s="74">
        <v>2.7</v>
      </c>
      <c r="E127" s="114">
        <f t="shared" ca="1" si="26"/>
        <v>4.3187539253564604E-2</v>
      </c>
    </row>
    <row r="128" spans="3:6" s="74" customFormat="1" x14ac:dyDescent="0.2">
      <c r="C128" s="74">
        <v>3</v>
      </c>
      <c r="D128" s="74">
        <v>2.8</v>
      </c>
      <c r="E128" s="114">
        <f t="shared" ca="1" si="26"/>
        <v>4.3678330162161737E-2</v>
      </c>
    </row>
    <row r="129" spans="3:5" s="74" customFormat="1" x14ac:dyDescent="0.2">
      <c r="C129" s="74">
        <v>3</v>
      </c>
      <c r="D129" s="74">
        <v>2.9</v>
      </c>
      <c r="E129" s="114">
        <f t="shared" ca="1" si="26"/>
        <v>4.4169925222047123E-2</v>
      </c>
    </row>
    <row r="130" spans="3:5" s="74" customFormat="1" x14ac:dyDescent="0.2">
      <c r="C130" s="74">
        <v>4</v>
      </c>
      <c r="D130" s="74">
        <v>3</v>
      </c>
      <c r="E130" s="114">
        <f t="shared" ca="1" si="26"/>
        <v>4.4685005660000235E-2</v>
      </c>
    </row>
    <row r="131" spans="3:5" s="74" customFormat="1" x14ac:dyDescent="0.2">
      <c r="C131" s="74">
        <v>4</v>
      </c>
      <c r="D131" s="74">
        <v>3.1</v>
      </c>
      <c r="E131" s="114">
        <f t="shared" ca="1" si="26"/>
        <v>4.5241636042315486E-2</v>
      </c>
    </row>
    <row r="132" spans="3:5" s="74" customFormat="1" x14ac:dyDescent="0.2">
      <c r="C132" s="74">
        <v>4</v>
      </c>
      <c r="D132" s="74">
        <v>3.2</v>
      </c>
      <c r="E132" s="114">
        <f t="shared" ca="1" si="26"/>
        <v>4.5839414293348757E-2</v>
      </c>
    </row>
    <row r="133" spans="3:5" s="74" customFormat="1" x14ac:dyDescent="0.2">
      <c r="C133" s="74">
        <v>4</v>
      </c>
      <c r="D133" s="74">
        <v>3.3</v>
      </c>
      <c r="E133" s="114">
        <f t="shared" ca="1" si="26"/>
        <v>4.6473321676971199E-2</v>
      </c>
    </row>
    <row r="134" spans="3:5" s="74" customFormat="1" x14ac:dyDescent="0.2">
      <c r="C134" s="74">
        <v>4</v>
      </c>
      <c r="D134" s="74">
        <v>3.4</v>
      </c>
      <c r="E134" s="114">
        <f t="shared" ca="1" si="26"/>
        <v>4.7138339457053938E-2</v>
      </c>
    </row>
    <row r="135" spans="3:5" s="74" customFormat="1" x14ac:dyDescent="0.2">
      <c r="C135" s="74">
        <v>4</v>
      </c>
      <c r="D135" s="74">
        <v>3.5</v>
      </c>
      <c r="E135" s="114">
        <f t="shared" ca="1" si="26"/>
        <v>4.7829448897468096E-2</v>
      </c>
    </row>
    <row r="136" spans="3:5" s="74" customFormat="1" x14ac:dyDescent="0.2">
      <c r="C136" s="74">
        <v>4</v>
      </c>
      <c r="D136" s="74">
        <v>3.6</v>
      </c>
      <c r="E136" s="114">
        <f t="shared" ca="1" si="26"/>
        <v>4.8541631262084828E-2</v>
      </c>
    </row>
    <row r="137" spans="3:5" s="74" customFormat="1" x14ac:dyDescent="0.2">
      <c r="C137" s="74">
        <v>4</v>
      </c>
      <c r="D137" s="74">
        <v>3.7</v>
      </c>
      <c r="E137" s="114">
        <f t="shared" ca="1" si="26"/>
        <v>4.9269867814775201E-2</v>
      </c>
    </row>
    <row r="138" spans="3:5" s="74" customFormat="1" x14ac:dyDescent="0.2">
      <c r="C138" s="74">
        <v>4</v>
      </c>
      <c r="D138" s="74">
        <v>3.8</v>
      </c>
      <c r="E138" s="114">
        <f t="shared" ca="1" si="26"/>
        <v>5.0009139819410409E-2</v>
      </c>
    </row>
    <row r="139" spans="3:5" s="74" customFormat="1" x14ac:dyDescent="0.2">
      <c r="C139" s="74">
        <v>4</v>
      </c>
      <c r="D139" s="74">
        <v>3.9</v>
      </c>
      <c r="E139" s="114">
        <f t="shared" ca="1" si="26"/>
        <v>5.0754428539861535E-2</v>
      </c>
    </row>
    <row r="140" spans="3:5" s="74" customFormat="1" x14ac:dyDescent="0.2">
      <c r="C140" s="74">
        <v>5</v>
      </c>
      <c r="D140" s="74">
        <v>4</v>
      </c>
      <c r="E140" s="114">
        <f t="shared" ca="1" si="26"/>
        <v>5.1500715239999349E-2</v>
      </c>
    </row>
    <row r="141" spans="3:5" s="74" customFormat="1" x14ac:dyDescent="0.2">
      <c r="C141" s="74">
        <v>5</v>
      </c>
      <c r="D141" s="74">
        <v>4.0999999999999996</v>
      </c>
      <c r="E141" s="114">
        <f t="shared" ca="1" si="26"/>
        <v>5.2243383259339998E-2</v>
      </c>
    </row>
    <row r="142" spans="3:5" s="74" customFormat="1" x14ac:dyDescent="0.2">
      <c r="C142" s="74">
        <v>5</v>
      </c>
      <c r="D142" s="74">
        <v>4.2</v>
      </c>
      <c r="E142" s="114">
        <f t="shared" ca="1" si="26"/>
        <v>5.2979424239975044E-2</v>
      </c>
    </row>
    <row r="143" spans="3:5" s="74" customFormat="1" x14ac:dyDescent="0.2">
      <c r="C143" s="74">
        <v>5</v>
      </c>
      <c r="D143" s="74">
        <v>4.3</v>
      </c>
      <c r="E143" s="114">
        <f t="shared" ca="1" si="26"/>
        <v>5.370623189964073E-2</v>
      </c>
    </row>
    <row r="144" spans="3:5" s="74" customFormat="1" x14ac:dyDescent="0.2">
      <c r="C144" s="74">
        <v>5</v>
      </c>
      <c r="D144" s="74">
        <v>4.4000000000000004</v>
      </c>
      <c r="E144" s="114">
        <f t="shared" ca="1" si="26"/>
        <v>5.4421199956073252E-2</v>
      </c>
    </row>
    <row r="145" spans="3:5" s="74" customFormat="1" x14ac:dyDescent="0.2">
      <c r="C145" s="74">
        <v>5</v>
      </c>
      <c r="D145" s="74">
        <v>4.5</v>
      </c>
      <c r="E145" s="114">
        <f t="shared" ca="1" si="26"/>
        <v>5.5121722127008832E-2</v>
      </c>
    </row>
    <row r="146" spans="3:5" s="74" customFormat="1" x14ac:dyDescent="0.2">
      <c r="C146" s="74">
        <v>5</v>
      </c>
      <c r="D146" s="74">
        <v>4.5999999999999996</v>
      </c>
      <c r="E146" s="114">
        <f t="shared" ca="1" si="26"/>
        <v>5.580519213018368E-2</v>
      </c>
    </row>
    <row r="147" spans="3:5" s="74" customFormat="1" x14ac:dyDescent="0.2">
      <c r="C147" s="74">
        <v>5</v>
      </c>
      <c r="D147" s="74">
        <v>4.7</v>
      </c>
      <c r="E147" s="114">
        <f t="shared" ca="1" si="26"/>
        <v>5.6469003683334011E-2</v>
      </c>
    </row>
    <row r="148" spans="3:5" s="74" customFormat="1" x14ac:dyDescent="0.2">
      <c r="C148" s="74">
        <v>5</v>
      </c>
      <c r="D148" s="74">
        <v>4.8</v>
      </c>
      <c r="E148" s="114">
        <f t="shared" ca="1" si="26"/>
        <v>5.7110550504196007E-2</v>
      </c>
    </row>
    <row r="149" spans="3:5" s="74" customFormat="1" x14ac:dyDescent="0.2">
      <c r="C149" s="74">
        <v>5</v>
      </c>
      <c r="D149" s="74">
        <v>4.9000000000000004</v>
      </c>
      <c r="E149" s="114">
        <f t="shared" ca="1" si="26"/>
        <v>5.7727226310505947E-2</v>
      </c>
    </row>
    <row r="150" spans="3:5" s="74" customFormat="1" x14ac:dyDescent="0.2">
      <c r="C150" s="74">
        <v>7</v>
      </c>
      <c r="D150" s="74">
        <v>5</v>
      </c>
      <c r="E150" s="114">
        <f t="shared" ca="1" si="26"/>
        <v>5.8316424820001503E-2</v>
      </c>
    </row>
    <row r="151" spans="3:5" s="74" customFormat="1" x14ac:dyDescent="0.2">
      <c r="C151" s="74">
        <v>7</v>
      </c>
      <c r="D151" s="74">
        <v>5.0999999999999996</v>
      </c>
      <c r="E151" s="114">
        <f t="shared" ca="1" si="26"/>
        <v>5.88761417062168E-2</v>
      </c>
    </row>
    <row r="152" spans="3:5" s="74" customFormat="1" x14ac:dyDescent="0.2">
      <c r="C152" s="74">
        <v>7</v>
      </c>
      <c r="D152" s="74">
        <v>5.2</v>
      </c>
      <c r="E152" s="114">
        <f t="shared" ca="1" si="26"/>
        <v>5.9406780465894385E-2</v>
      </c>
    </row>
    <row r="153" spans="3:5" s="74" customFormat="1" x14ac:dyDescent="0.2">
      <c r="C153" s="74">
        <v>7</v>
      </c>
      <c r="D153" s="74">
        <v>5.3</v>
      </c>
      <c r="E153" s="114">
        <f t="shared" ca="1" si="26"/>
        <v>5.9909346551576231E-2</v>
      </c>
    </row>
    <row r="154" spans="3:5" s="74" customFormat="1" x14ac:dyDescent="0.2">
      <c r="C154" s="74">
        <v>7</v>
      </c>
      <c r="D154" s="74">
        <v>5.4</v>
      </c>
      <c r="E154" s="114">
        <f t="shared" ca="1" si="26"/>
        <v>6.0384845415804397E-2</v>
      </c>
    </row>
    <row r="155" spans="3:5" s="74" customFormat="1" x14ac:dyDescent="0.2">
      <c r="C155" s="74">
        <v>7</v>
      </c>
      <c r="D155" s="74">
        <v>5.5</v>
      </c>
      <c r="E155" s="114">
        <f t="shared" ca="1" si="26"/>
        <v>6.0834282511120788E-2</v>
      </c>
    </row>
    <row r="156" spans="3:5" s="74" customFormat="1" x14ac:dyDescent="0.2">
      <c r="C156" s="74">
        <v>7</v>
      </c>
      <c r="D156" s="74">
        <v>5.6</v>
      </c>
      <c r="E156" s="114">
        <f t="shared" ca="1" si="26"/>
        <v>6.1258663290067378E-2</v>
      </c>
    </row>
    <row r="157" spans="3:5" s="74" customFormat="1" x14ac:dyDescent="0.2">
      <c r="C157" s="74">
        <v>7</v>
      </c>
      <c r="D157" s="74">
        <v>5.7</v>
      </c>
      <c r="E157" s="114">
        <f t="shared" ca="1" si="26"/>
        <v>6.1658993205186183E-2</v>
      </c>
    </row>
    <row r="158" spans="3:5" s="74" customFormat="1" x14ac:dyDescent="0.2">
      <c r="C158" s="74">
        <v>7</v>
      </c>
      <c r="D158" s="74">
        <v>5.8</v>
      </c>
      <c r="E158" s="114">
        <f t="shared" ca="1" si="26"/>
        <v>6.2036277709019177E-2</v>
      </c>
    </row>
    <row r="159" spans="3:5" s="74" customFormat="1" x14ac:dyDescent="0.2">
      <c r="C159" s="74">
        <v>7</v>
      </c>
      <c r="D159" s="74">
        <v>5.9</v>
      </c>
      <c r="E159" s="114">
        <f t="shared" ca="1" si="26"/>
        <v>6.2391522254108378E-2</v>
      </c>
    </row>
    <row r="160" spans="3:5" s="74" customFormat="1" x14ac:dyDescent="0.2">
      <c r="C160" s="74">
        <v>7</v>
      </c>
      <c r="D160" s="74">
        <v>6</v>
      </c>
      <c r="E160" s="114">
        <f t="shared" ca="1" si="26"/>
        <v>6.2725732292995676E-2</v>
      </c>
    </row>
    <row r="161" spans="2:5" s="74" customFormat="1" x14ac:dyDescent="0.2">
      <c r="C161" s="74">
        <v>7</v>
      </c>
      <c r="D161" s="74">
        <v>6.1</v>
      </c>
      <c r="E161" s="114">
        <f t="shared" ca="1" si="26"/>
        <v>6.3039913278223128E-2</v>
      </c>
    </row>
    <row r="162" spans="2:5" s="74" customFormat="1" x14ac:dyDescent="0.2">
      <c r="C162" s="74">
        <v>7</v>
      </c>
      <c r="D162" s="74">
        <v>6.2</v>
      </c>
      <c r="E162" s="114">
        <f t="shared" ca="1" si="26"/>
        <v>6.3335070662332696E-2</v>
      </c>
    </row>
    <row r="163" spans="2:5" s="74" customFormat="1" x14ac:dyDescent="0.2">
      <c r="C163" s="74">
        <v>7</v>
      </c>
      <c r="D163" s="74">
        <v>6.3</v>
      </c>
      <c r="E163" s="114">
        <f t="shared" ca="1" si="26"/>
        <v>6.361220989786634E-2</v>
      </c>
    </row>
    <row r="164" spans="2:5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6.3872336437366062E-2</v>
      </c>
    </row>
    <row r="165" spans="2:5" s="74" customFormat="1" x14ac:dyDescent="0.2">
      <c r="C165" s="74">
        <v>7</v>
      </c>
      <c r="D165" s="74">
        <v>6.5</v>
      </c>
      <c r="E165" s="114">
        <f t="shared" ca="1" si="27"/>
        <v>6.4116455733373809E-2</v>
      </c>
    </row>
    <row r="166" spans="2:5" s="74" customFormat="1" x14ac:dyDescent="0.2">
      <c r="C166" s="74">
        <v>7</v>
      </c>
      <c r="D166" s="74">
        <v>6.6</v>
      </c>
      <c r="E166" s="114">
        <f t="shared" ca="1" si="27"/>
        <v>6.4345573238431611E-2</v>
      </c>
    </row>
    <row r="167" spans="2:5" s="74" customFormat="1" x14ac:dyDescent="0.2">
      <c r="C167" s="74">
        <v>7</v>
      </c>
      <c r="D167" s="74">
        <v>6.7</v>
      </c>
      <c r="E167" s="114">
        <f t="shared" ca="1" si="27"/>
        <v>6.4560694405081456E-2</v>
      </c>
    </row>
    <row r="168" spans="2:5" s="74" customFormat="1" x14ac:dyDescent="0.2">
      <c r="C168" s="74">
        <v>7</v>
      </c>
      <c r="D168" s="74">
        <v>6.8</v>
      </c>
      <c r="E168" s="114">
        <f t="shared" ca="1" si="27"/>
        <v>6.4762824685865264E-2</v>
      </c>
    </row>
    <row r="169" spans="2:5" s="74" customFormat="1" x14ac:dyDescent="0.2">
      <c r="C169" s="74">
        <v>7</v>
      </c>
      <c r="D169" s="74">
        <v>6.9</v>
      </c>
      <c r="E169" s="114">
        <f t="shared" ca="1" si="27"/>
        <v>6.4952969533325008E-2</v>
      </c>
    </row>
    <row r="170" spans="2:5" s="74" customFormat="1" x14ac:dyDescent="0.2">
      <c r="B170" s="114"/>
      <c r="C170" s="74">
        <v>10</v>
      </c>
      <c r="D170" s="74">
        <v>7</v>
      </c>
      <c r="E170" s="114">
        <f t="shared" ca="1" si="27"/>
        <v>6.5132134399999694E-2</v>
      </c>
    </row>
    <row r="171" spans="2:5" s="74" customFormat="1" x14ac:dyDescent="0.2">
      <c r="C171" s="74">
        <v>10</v>
      </c>
      <c r="D171" s="74">
        <v>7.1</v>
      </c>
      <c r="E171" s="114">
        <f t="shared" ca="1" si="27"/>
        <v>6.5301215193002277E-2</v>
      </c>
    </row>
    <row r="172" spans="2:5" s="74" customFormat="1" x14ac:dyDescent="0.2">
      <c r="C172" s="74">
        <v>10</v>
      </c>
      <c r="D172" s="74">
        <v>7.2</v>
      </c>
      <c r="E172" s="114">
        <f t="shared" ca="1" si="27"/>
        <v>6.5460669637696811E-2</v>
      </c>
    </row>
    <row r="173" spans="2:5" s="74" customFormat="1" x14ac:dyDescent="0.2">
      <c r="C173" s="74">
        <v>10</v>
      </c>
      <c r="D173" s="74">
        <v>7.3</v>
      </c>
      <c r="E173" s="114">
        <f t="shared" ca="1" si="27"/>
        <v>6.5610845914015281E-2</v>
      </c>
    </row>
    <row r="174" spans="2:5" s="74" customFormat="1" x14ac:dyDescent="0.2">
      <c r="C174" s="74">
        <v>10</v>
      </c>
      <c r="D174" s="74">
        <v>7.4</v>
      </c>
      <c r="E174" s="114">
        <f t="shared" ca="1" si="27"/>
        <v>6.5752092201889684E-2</v>
      </c>
    </row>
    <row r="175" spans="2:5" s="74" customFormat="1" x14ac:dyDescent="0.2">
      <c r="C175" s="74">
        <v>10</v>
      </c>
      <c r="D175" s="74">
        <v>7.5</v>
      </c>
      <c r="E175" s="114">
        <f t="shared" ca="1" si="27"/>
        <v>6.5884756681252016E-2</v>
      </c>
    </row>
    <row r="176" spans="2:5" s="74" customFormat="1" x14ac:dyDescent="0.2">
      <c r="C176" s="74">
        <v>10</v>
      </c>
      <c r="D176" s="74">
        <v>7.6</v>
      </c>
      <c r="E176" s="114">
        <f t="shared" ca="1" si="27"/>
        <v>6.6009187532034302E-2</v>
      </c>
    </row>
    <row r="177" spans="3:5" s="74" customFormat="1" x14ac:dyDescent="0.2">
      <c r="C177" s="74">
        <v>10</v>
      </c>
      <c r="D177" s="74">
        <v>7.7</v>
      </c>
      <c r="E177" s="114">
        <f t="shared" ca="1" si="27"/>
        <v>6.6125732934168541E-2</v>
      </c>
    </row>
    <row r="178" spans="3:5" s="74" customFormat="1" x14ac:dyDescent="0.2">
      <c r="C178" s="74">
        <v>10</v>
      </c>
      <c r="D178" s="74">
        <v>7.8</v>
      </c>
      <c r="E178" s="114">
        <f t="shared" ca="1" si="27"/>
        <v>6.6234741067586742E-2</v>
      </c>
    </row>
    <row r="179" spans="3:5" s="74" customFormat="1" x14ac:dyDescent="0.2">
      <c r="C179" s="74">
        <v>10</v>
      </c>
      <c r="D179" s="74">
        <v>7.9</v>
      </c>
      <c r="E179" s="114">
        <f t="shared" ca="1" si="27"/>
        <v>6.6336560112220874E-2</v>
      </c>
    </row>
    <row r="180" spans="3:5" s="74" customFormat="1" x14ac:dyDescent="0.2">
      <c r="C180" s="74">
        <v>10</v>
      </c>
      <c r="D180" s="74">
        <v>8</v>
      </c>
      <c r="E180" s="114">
        <f t="shared" ca="1" si="27"/>
        <v>6.6431538248002978E-2</v>
      </c>
    </row>
    <row r="181" spans="3:5" s="74" customFormat="1" x14ac:dyDescent="0.2">
      <c r="C181" s="74">
        <v>10</v>
      </c>
      <c r="D181" s="74">
        <v>8.1</v>
      </c>
      <c r="E181" s="114">
        <f t="shared" ca="1" si="27"/>
        <v>6.6520023654865035E-2</v>
      </c>
    </row>
    <row r="182" spans="3:5" s="74" customFormat="1" x14ac:dyDescent="0.2">
      <c r="C182" s="74">
        <v>10</v>
      </c>
      <c r="D182" s="74">
        <v>8.1999999999999993</v>
      </c>
      <c r="E182" s="114">
        <f t="shared" ca="1" si="27"/>
        <v>6.6602364512739043E-2</v>
      </c>
    </row>
    <row r="183" spans="3:5" s="74" customFormat="1" x14ac:dyDescent="0.2">
      <c r="C183" s="74">
        <v>10</v>
      </c>
      <c r="D183" s="74">
        <v>8.3000000000000007</v>
      </c>
      <c r="E183" s="114">
        <f t="shared" ca="1" si="27"/>
        <v>6.6678909001557013E-2</v>
      </c>
    </row>
    <row r="184" spans="3:5" s="74" customFormat="1" x14ac:dyDescent="0.2">
      <c r="C184" s="74">
        <v>10</v>
      </c>
      <c r="D184" s="74">
        <v>8.4</v>
      </c>
      <c r="E184" s="114">
        <f t="shared" ca="1" si="27"/>
        <v>6.675000530125097E-2</v>
      </c>
    </row>
    <row r="185" spans="3:5" s="74" customFormat="1" x14ac:dyDescent="0.2">
      <c r="C185" s="74">
        <v>10</v>
      </c>
      <c r="D185" s="74">
        <v>8.5</v>
      </c>
      <c r="E185" s="114">
        <f t="shared" ca="1" si="27"/>
        <v>6.6816001591752883E-2</v>
      </c>
    </row>
    <row r="186" spans="3:5" s="74" customFormat="1" x14ac:dyDescent="0.2">
      <c r="C186" s="74">
        <v>10</v>
      </c>
      <c r="D186" s="74">
        <v>8.6</v>
      </c>
      <c r="E186" s="114">
        <f t="shared" ca="1" si="27"/>
        <v>6.6877246052994735E-2</v>
      </c>
    </row>
    <row r="187" spans="3:5" s="74" customFormat="1" x14ac:dyDescent="0.2">
      <c r="C187" s="74">
        <v>10</v>
      </c>
      <c r="D187" s="74">
        <v>8.6999999999999993</v>
      </c>
      <c r="E187" s="114">
        <f t="shared" ca="1" si="27"/>
        <v>6.6934086864908579E-2</v>
      </c>
    </row>
    <row r="188" spans="3:5" s="74" customFormat="1" x14ac:dyDescent="0.2">
      <c r="C188" s="74">
        <v>10</v>
      </c>
      <c r="D188" s="74">
        <v>8.8000000000000007</v>
      </c>
      <c r="E188" s="114">
        <f t="shared" ca="1" si="27"/>
        <v>6.6986872207426412E-2</v>
      </c>
    </row>
    <row r="189" spans="3:5" s="74" customFormat="1" x14ac:dyDescent="0.2">
      <c r="C189" s="74">
        <v>10</v>
      </c>
      <c r="D189" s="74">
        <v>8.9</v>
      </c>
      <c r="E189" s="114">
        <f t="shared" ca="1" si="27"/>
        <v>6.7035950260480176E-2</v>
      </c>
    </row>
    <row r="190" spans="3:5" s="74" customFormat="1" x14ac:dyDescent="0.2">
      <c r="C190" s="74">
        <v>10</v>
      </c>
      <c r="D190" s="74">
        <v>9</v>
      </c>
      <c r="E190" s="114">
        <f t="shared" ca="1" si="27"/>
        <v>6.7081669204001965E-2</v>
      </c>
    </row>
    <row r="191" spans="3:5" s="74" customFormat="1" x14ac:dyDescent="0.2">
      <c r="C191" s="74">
        <v>10</v>
      </c>
      <c r="D191" s="74">
        <v>9.1</v>
      </c>
      <c r="E191" s="114">
        <f t="shared" ca="1" si="27"/>
        <v>6.712437721792372E-2</v>
      </c>
    </row>
    <row r="192" spans="3:5" s="74" customFormat="1" x14ac:dyDescent="0.2">
      <c r="C192" s="74">
        <v>10</v>
      </c>
      <c r="D192" s="74">
        <v>9.1999999999999993</v>
      </c>
      <c r="E192" s="114">
        <f t="shared" ca="1" si="27"/>
        <v>6.7164422482177466E-2</v>
      </c>
    </row>
    <row r="193" spans="3:5" s="74" customFormat="1" x14ac:dyDescent="0.2">
      <c r="C193" s="74">
        <v>10</v>
      </c>
      <c r="D193" s="74">
        <v>9.3000000000000007</v>
      </c>
      <c r="E193" s="114">
        <f t="shared" ca="1" si="27"/>
        <v>6.7202153176695145E-2</v>
      </c>
    </row>
    <row r="194" spans="3:5" s="74" customFormat="1" x14ac:dyDescent="0.2">
      <c r="C194" s="74">
        <v>10</v>
      </c>
      <c r="D194" s="74">
        <v>9.4</v>
      </c>
      <c r="E194" s="114">
        <f t="shared" ca="1" si="27"/>
        <v>6.7237917481408851E-2</v>
      </c>
    </row>
    <row r="195" spans="3:5" s="74" customFormat="1" x14ac:dyDescent="0.2">
      <c r="C195" s="74">
        <v>10</v>
      </c>
      <c r="D195" s="74">
        <v>9.5</v>
      </c>
      <c r="E195" s="114">
        <f t="shared" ca="1" si="27"/>
        <v>6.727206357625054E-2</v>
      </c>
    </row>
    <row r="196" spans="3:5" s="74" customFormat="1" x14ac:dyDescent="0.2">
      <c r="C196" s="74">
        <v>10</v>
      </c>
      <c r="D196" s="74">
        <v>9.6</v>
      </c>
      <c r="E196" s="114">
        <f t="shared" ca="1" si="27"/>
        <v>6.7304939641152223E-2</v>
      </c>
    </row>
    <row r="197" spans="3:5" s="74" customFormat="1" x14ac:dyDescent="0.2">
      <c r="C197" s="74">
        <v>10</v>
      </c>
      <c r="D197" s="74">
        <v>9.6999999999999993</v>
      </c>
      <c r="E197" s="114">
        <f t="shared" ca="1" si="27"/>
        <v>6.733689385604591E-2</v>
      </c>
    </row>
    <row r="198" spans="3:5" s="74" customFormat="1" x14ac:dyDescent="0.2">
      <c r="C198" s="74">
        <v>10</v>
      </c>
      <c r="D198" s="74">
        <v>9.8000000000000007</v>
      </c>
      <c r="E198" s="114">
        <f t="shared" ca="1" si="27"/>
        <v>6.7368274400863584E-2</v>
      </c>
    </row>
    <row r="199" spans="3:5" s="74" customFormat="1" x14ac:dyDescent="0.2">
      <c r="C199" s="74">
        <v>10</v>
      </c>
      <c r="D199" s="74">
        <v>9.9</v>
      </c>
      <c r="E199" s="114">
        <f t="shared" ca="1" si="27"/>
        <v>6.7399429455537285E-2</v>
      </c>
    </row>
    <row r="200" spans="3:5" s="74" customFormat="1" x14ac:dyDescent="0.2">
      <c r="C200" s="74">
        <v>10</v>
      </c>
      <c r="D200" s="74">
        <v>10</v>
      </c>
      <c r="E200" s="114">
        <f t="shared" ca="1" si="27"/>
        <v>6.743070719999894E-2</v>
      </c>
    </row>
    <row r="201" spans="3:5" s="74" customFormat="1" x14ac:dyDescent="0.2">
      <c r="C201" s="74">
        <v>30</v>
      </c>
      <c r="D201" s="74">
        <v>10.1</v>
      </c>
      <c r="E201" s="114">
        <f t="shared" ca="1" si="27"/>
        <v>6.7462397391801696E-2</v>
      </c>
    </row>
    <row r="202" spans="3:5" s="74" customFormat="1" x14ac:dyDescent="0.2">
      <c r="C202" s="74">
        <v>30</v>
      </c>
      <c r="D202" s="74">
        <v>10.199999999999999</v>
      </c>
      <c r="E202" s="114">
        <f t="shared" ca="1" si="27"/>
        <v>6.7494556098974728E-2</v>
      </c>
    </row>
    <row r="203" spans="3:5" s="74" customFormat="1" x14ac:dyDescent="0.2">
      <c r="C203" s="74">
        <v>30</v>
      </c>
      <c r="D203" s="74">
        <v>10.3</v>
      </c>
      <c r="E203" s="114">
        <f t="shared" ca="1" si="27"/>
        <v>6.7527180967170544E-2</v>
      </c>
    </row>
    <row r="204" spans="3:5" s="74" customFormat="1" x14ac:dyDescent="0.2">
      <c r="C204" s="74">
        <v>30</v>
      </c>
      <c r="D204" s="74">
        <v>10.4</v>
      </c>
      <c r="E204" s="114">
        <f t="shared" ca="1" si="27"/>
        <v>6.756026964204058E-2</v>
      </c>
    </row>
    <row r="205" spans="3:5" s="74" customFormat="1" x14ac:dyDescent="0.2">
      <c r="C205" s="74">
        <v>30</v>
      </c>
      <c r="D205" s="74">
        <v>10.5</v>
      </c>
      <c r="E205" s="114">
        <f t="shared" ca="1" si="27"/>
        <v>6.7593819769236202E-2</v>
      </c>
    </row>
    <row r="206" spans="3:5" s="74" customFormat="1" x14ac:dyDescent="0.2">
      <c r="C206" s="74">
        <v>30</v>
      </c>
      <c r="D206" s="74">
        <v>10.6</v>
      </c>
      <c r="E206" s="114">
        <f t="shared" ca="1" si="27"/>
        <v>6.7627828994408848E-2</v>
      </c>
    </row>
    <row r="207" spans="3:5" s="74" customFormat="1" x14ac:dyDescent="0.2">
      <c r="C207" s="74">
        <v>30</v>
      </c>
      <c r="D207" s="74">
        <v>10.7</v>
      </c>
      <c r="E207" s="114">
        <f t="shared" ca="1" si="27"/>
        <v>6.7662294963209885E-2</v>
      </c>
    </row>
    <row r="208" spans="3:5" s="74" customFormat="1" x14ac:dyDescent="0.2">
      <c r="C208" s="74">
        <v>30</v>
      </c>
      <c r="D208" s="74">
        <v>10.8</v>
      </c>
      <c r="E208" s="114">
        <f t="shared" ca="1" si="27"/>
        <v>6.7697215321290735E-2</v>
      </c>
    </row>
    <row r="209" spans="3:5" s="74" customFormat="1" x14ac:dyDescent="0.2">
      <c r="C209" s="74">
        <v>30</v>
      </c>
      <c r="D209" s="74">
        <v>10.9</v>
      </c>
      <c r="E209" s="114">
        <f t="shared" ca="1" si="27"/>
        <v>6.773258771430278E-2</v>
      </c>
    </row>
    <row r="210" spans="3:5" s="74" customFormat="1" x14ac:dyDescent="0.2">
      <c r="C210" s="74">
        <v>30</v>
      </c>
      <c r="D210" s="74">
        <v>11</v>
      </c>
      <c r="E210" s="114">
        <f t="shared" ca="1" si="27"/>
        <v>6.776840978789743E-2</v>
      </c>
    </row>
    <row r="211" spans="3:5" s="74" customFormat="1" x14ac:dyDescent="0.2">
      <c r="C211" s="74">
        <v>30</v>
      </c>
      <c r="D211" s="74">
        <v>11.1</v>
      </c>
      <c r="E211" s="114">
        <f t="shared" ca="1" si="27"/>
        <v>6.7804679187726091E-2</v>
      </c>
    </row>
    <row r="212" spans="3:5" s="74" customFormat="1" x14ac:dyDescent="0.2">
      <c r="C212" s="74">
        <v>30</v>
      </c>
      <c r="D212" s="74">
        <v>11.2</v>
      </c>
      <c r="E212" s="114">
        <f t="shared" ca="1" si="27"/>
        <v>6.7841393559440161E-2</v>
      </c>
    </row>
    <row r="213" spans="3:5" s="74" customFormat="1" x14ac:dyDescent="0.2">
      <c r="C213" s="74">
        <v>30</v>
      </c>
      <c r="D213" s="74">
        <v>11.3</v>
      </c>
      <c r="E213" s="114">
        <f t="shared" ca="1" si="27"/>
        <v>6.7878550548691019E-2</v>
      </c>
    </row>
    <row r="214" spans="3:5" s="74" customFormat="1" x14ac:dyDescent="0.2">
      <c r="C214" s="74">
        <v>30</v>
      </c>
      <c r="D214" s="74">
        <v>11.4</v>
      </c>
      <c r="E214" s="114">
        <f t="shared" ca="1" si="27"/>
        <v>6.7916147801130089E-2</v>
      </c>
    </row>
    <row r="215" spans="3:5" s="74" customFormat="1" x14ac:dyDescent="0.2">
      <c r="C215" s="74">
        <v>30</v>
      </c>
      <c r="D215" s="74">
        <v>11.5</v>
      </c>
      <c r="E215" s="114">
        <f t="shared" ca="1" si="27"/>
        <v>6.7954182962408766E-2</v>
      </c>
    </row>
    <row r="216" spans="3:5" s="74" customFormat="1" x14ac:dyDescent="0.2">
      <c r="C216" s="74">
        <v>30</v>
      </c>
      <c r="D216" s="74">
        <v>11.6</v>
      </c>
      <c r="E216" s="114">
        <f t="shared" ca="1" si="27"/>
        <v>6.7992653678178444E-2</v>
      </c>
    </row>
    <row r="217" spans="3:5" s="74" customFormat="1" x14ac:dyDescent="0.2">
      <c r="C217" s="74">
        <v>30</v>
      </c>
      <c r="D217" s="74">
        <v>11.7</v>
      </c>
      <c r="E217" s="114">
        <f t="shared" ca="1" si="27"/>
        <v>6.8031557594090533E-2</v>
      </c>
    </row>
    <row r="218" spans="3:5" s="74" customFormat="1" x14ac:dyDescent="0.2">
      <c r="C218" s="74">
        <v>30</v>
      </c>
      <c r="D218" s="74">
        <v>11.8</v>
      </c>
      <c r="E218" s="114">
        <f t="shared" ca="1" si="27"/>
        <v>6.8070892355796414E-2</v>
      </c>
    </row>
    <row r="219" spans="3:5" s="74" customFormat="1" x14ac:dyDescent="0.2">
      <c r="C219" s="74">
        <v>30</v>
      </c>
      <c r="D219" s="74">
        <v>11.9</v>
      </c>
      <c r="E219" s="114">
        <f t="shared" ca="1" si="27"/>
        <v>6.811065560894751E-2</v>
      </c>
    </row>
    <row r="220" spans="3:5" s="74" customFormat="1" x14ac:dyDescent="0.2">
      <c r="C220" s="74">
        <v>30</v>
      </c>
      <c r="D220" s="74">
        <v>12</v>
      </c>
      <c r="E220" s="114">
        <f t="shared" ca="1" si="27"/>
        <v>6.8150844999195201E-2</v>
      </c>
    </row>
    <row r="221" spans="3:5" s="74" customFormat="1" x14ac:dyDescent="0.2">
      <c r="C221" s="74">
        <v>30</v>
      </c>
      <c r="D221" s="74">
        <v>12.1</v>
      </c>
      <c r="E221" s="114">
        <f t="shared" ca="1" si="27"/>
        <v>6.8191458172190897E-2</v>
      </c>
    </row>
    <row r="222" spans="3:5" s="74" customFormat="1" x14ac:dyDescent="0.2">
      <c r="C222" s="74">
        <v>30</v>
      </c>
      <c r="D222" s="74">
        <v>12.2</v>
      </c>
      <c r="E222" s="114">
        <f t="shared" ca="1" si="27"/>
        <v>6.8232492773585993E-2</v>
      </c>
    </row>
    <row r="223" spans="3:5" s="74" customFormat="1" x14ac:dyDescent="0.2">
      <c r="C223" s="74">
        <v>30</v>
      </c>
      <c r="D223" s="74">
        <v>12.3</v>
      </c>
      <c r="E223" s="114">
        <f t="shared" ca="1" si="27"/>
        <v>6.8273946449031897E-2</v>
      </c>
    </row>
    <row r="224" spans="3:5" s="74" customFormat="1" x14ac:dyDescent="0.2">
      <c r="C224" s="74">
        <v>30</v>
      </c>
      <c r="D224" s="74">
        <v>12.4</v>
      </c>
      <c r="E224" s="114">
        <f t="shared" ca="1" si="27"/>
        <v>6.8315816844180005E-2</v>
      </c>
    </row>
    <row r="225" spans="3:5" s="74" customFormat="1" x14ac:dyDescent="0.2">
      <c r="C225" s="74">
        <v>30</v>
      </c>
      <c r="D225" s="74">
        <v>12.5</v>
      </c>
      <c r="E225" s="114">
        <f t="shared" ca="1" si="27"/>
        <v>6.8358101604681726E-2</v>
      </c>
    </row>
    <row r="226" spans="3:5" s="74" customFormat="1" x14ac:dyDescent="0.2">
      <c r="C226" s="74">
        <v>30</v>
      </c>
      <c r="D226" s="74">
        <v>12.6</v>
      </c>
      <c r="E226" s="114">
        <f t="shared" ca="1" si="27"/>
        <v>6.840079837618844E-2</v>
      </c>
    </row>
    <row r="227" spans="3:5" s="74" customFormat="1" x14ac:dyDescent="0.2">
      <c r="C227" s="74">
        <v>30</v>
      </c>
      <c r="D227" s="74">
        <v>12.7</v>
      </c>
      <c r="E227" s="114">
        <f t="shared" ca="1" si="27"/>
        <v>6.8443904804351557E-2</v>
      </c>
    </row>
    <row r="228" spans="3:5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6.8487418534822486E-2</v>
      </c>
    </row>
    <row r="229" spans="3:5" s="74" customFormat="1" x14ac:dyDescent="0.2">
      <c r="C229" s="74">
        <v>30</v>
      </c>
      <c r="D229" s="74">
        <v>12.9</v>
      </c>
      <c r="E229" s="114">
        <f t="shared" ca="1" si="28"/>
        <v>6.8531337213252622E-2</v>
      </c>
    </row>
    <row r="230" spans="3:5" s="74" customFormat="1" x14ac:dyDescent="0.2">
      <c r="C230" s="74">
        <v>30</v>
      </c>
      <c r="D230" s="74">
        <v>13</v>
      </c>
      <c r="E230" s="114">
        <f t="shared" ca="1" si="28"/>
        <v>6.8575658485293345E-2</v>
      </c>
    </row>
    <row r="231" spans="3:5" s="74" customFormat="1" x14ac:dyDescent="0.2">
      <c r="C231" s="74">
        <v>30</v>
      </c>
      <c r="D231" s="74">
        <v>13.1</v>
      </c>
      <c r="E231" s="114">
        <f t="shared" ca="1" si="28"/>
        <v>6.8620379996596079E-2</v>
      </c>
    </row>
    <row r="232" spans="3:5" s="74" customFormat="1" x14ac:dyDescent="0.2">
      <c r="C232" s="74">
        <v>30</v>
      </c>
      <c r="D232" s="74">
        <v>13.2</v>
      </c>
      <c r="E232" s="114">
        <f t="shared" ca="1" si="28"/>
        <v>6.8665499392812218E-2</v>
      </c>
    </row>
    <row r="233" spans="3:5" s="74" customFormat="1" x14ac:dyDescent="0.2">
      <c r="C233" s="74">
        <v>30</v>
      </c>
      <c r="D233" s="74">
        <v>13.3</v>
      </c>
      <c r="E233" s="114">
        <f t="shared" ca="1" si="28"/>
        <v>6.8711014319593172E-2</v>
      </c>
    </row>
    <row r="234" spans="3:5" s="74" customFormat="1" x14ac:dyDescent="0.2">
      <c r="C234" s="74">
        <v>30</v>
      </c>
      <c r="D234" s="74">
        <v>13.4</v>
      </c>
      <c r="E234" s="114">
        <f t="shared" ca="1" si="28"/>
        <v>6.8756922422590308E-2</v>
      </c>
    </row>
    <row r="235" spans="3:5" s="74" customFormat="1" x14ac:dyDescent="0.2">
      <c r="C235" s="74">
        <v>30</v>
      </c>
      <c r="D235" s="74">
        <v>13.5</v>
      </c>
      <c r="E235" s="114">
        <f t="shared" ca="1" si="28"/>
        <v>6.8803221347455062E-2</v>
      </c>
    </row>
    <row r="236" spans="3:5" s="74" customFormat="1" x14ac:dyDescent="0.2">
      <c r="C236" s="74">
        <v>30</v>
      </c>
      <c r="D236" s="74">
        <v>13.6</v>
      </c>
      <c r="E236" s="114">
        <f t="shared" ca="1" si="28"/>
        <v>6.8849908739838817E-2</v>
      </c>
    </row>
    <row r="237" spans="3:5" s="74" customFormat="1" x14ac:dyDescent="0.2">
      <c r="C237" s="74">
        <v>30</v>
      </c>
      <c r="D237" s="74">
        <v>13.7</v>
      </c>
      <c r="E237" s="114">
        <f t="shared" ca="1" si="28"/>
        <v>6.8896982245392965E-2</v>
      </c>
    </row>
    <row r="238" spans="3:5" s="74" customFormat="1" x14ac:dyDescent="0.2">
      <c r="C238" s="74">
        <v>30</v>
      </c>
      <c r="D238" s="74">
        <v>13.8</v>
      </c>
      <c r="E238" s="114">
        <f t="shared" ca="1" si="28"/>
        <v>6.8944439509768932E-2</v>
      </c>
    </row>
    <row r="239" spans="3:5" s="74" customFormat="1" x14ac:dyDescent="0.2">
      <c r="C239" s="74">
        <v>30</v>
      </c>
      <c r="D239" s="74">
        <v>13.9</v>
      </c>
      <c r="E239" s="114">
        <f t="shared" ca="1" si="28"/>
        <v>6.8992278178618097E-2</v>
      </c>
    </row>
    <row r="240" spans="3:5" s="74" customFormat="1" x14ac:dyDescent="0.2">
      <c r="C240" s="74">
        <v>30</v>
      </c>
      <c r="D240" s="74">
        <v>14</v>
      </c>
      <c r="E240" s="114">
        <f t="shared" ca="1" si="28"/>
        <v>6.9040495897591869E-2</v>
      </c>
    </row>
    <row r="241" spans="3:5" s="74" customFormat="1" x14ac:dyDescent="0.2">
      <c r="C241" s="74">
        <v>30</v>
      </c>
      <c r="D241" s="74">
        <v>14.1</v>
      </c>
      <c r="E241" s="114">
        <f t="shared" ca="1" si="28"/>
        <v>6.9089090312341631E-2</v>
      </c>
    </row>
    <row r="242" spans="3:5" s="74" customFormat="1" x14ac:dyDescent="0.2">
      <c r="C242" s="74">
        <v>30</v>
      </c>
      <c r="D242" s="74">
        <v>14.2</v>
      </c>
      <c r="E242" s="114">
        <f t="shared" ca="1" si="28"/>
        <v>6.9138059068518817E-2</v>
      </c>
    </row>
    <row r="243" spans="3:5" s="74" customFormat="1" x14ac:dyDescent="0.2">
      <c r="C243" s="74">
        <v>30</v>
      </c>
      <c r="D243" s="74">
        <v>14.3</v>
      </c>
      <c r="E243" s="114">
        <f t="shared" ca="1" si="28"/>
        <v>6.9187399811774783E-2</v>
      </c>
    </row>
    <row r="244" spans="3:5" s="74" customFormat="1" x14ac:dyDescent="0.2">
      <c r="C244" s="74">
        <v>30</v>
      </c>
      <c r="D244" s="74">
        <v>14.4</v>
      </c>
      <c r="E244" s="114">
        <f t="shared" ca="1" si="28"/>
        <v>6.9237110187760964E-2</v>
      </c>
    </row>
    <row r="245" spans="3:5" s="74" customFormat="1" x14ac:dyDescent="0.2">
      <c r="C245" s="74">
        <v>30</v>
      </c>
      <c r="D245" s="74">
        <v>14.5</v>
      </c>
      <c r="E245" s="114">
        <f t="shared" ca="1" si="28"/>
        <v>6.9287187842128756E-2</v>
      </c>
    </row>
    <row r="246" spans="3:5" s="74" customFormat="1" x14ac:dyDescent="0.2">
      <c r="C246" s="74">
        <v>30</v>
      </c>
      <c r="D246" s="74">
        <v>14.6</v>
      </c>
      <c r="E246" s="114">
        <f t="shared" ca="1" si="28"/>
        <v>6.9337630420529539E-2</v>
      </c>
    </row>
    <row r="247" spans="3:5" s="74" customFormat="1" x14ac:dyDescent="0.2">
      <c r="C247" s="74">
        <v>30</v>
      </c>
      <c r="D247" s="74">
        <v>14.7</v>
      </c>
      <c r="E247" s="114">
        <f t="shared" ca="1" si="28"/>
        <v>6.9388435568614737E-2</v>
      </c>
    </row>
    <row r="248" spans="3:5" s="74" customFormat="1" x14ac:dyDescent="0.2">
      <c r="C248" s="74">
        <v>30</v>
      </c>
      <c r="D248" s="74">
        <v>14.8</v>
      </c>
      <c r="E248" s="114">
        <f t="shared" ca="1" si="28"/>
        <v>6.943960093203573E-2</v>
      </c>
    </row>
    <row r="249" spans="3:5" s="74" customFormat="1" x14ac:dyDescent="0.2">
      <c r="C249" s="74">
        <v>30</v>
      </c>
      <c r="D249" s="74">
        <v>14.9</v>
      </c>
      <c r="E249" s="114">
        <f t="shared" ca="1" si="28"/>
        <v>6.9491124156443929E-2</v>
      </c>
    </row>
    <row r="250" spans="3:5" s="74" customFormat="1" x14ac:dyDescent="0.2">
      <c r="C250" s="74">
        <v>30</v>
      </c>
      <c r="D250" s="74">
        <v>15</v>
      </c>
      <c r="E250" s="114">
        <f t="shared" ca="1" si="28"/>
        <v>6.9543002887490726E-2</v>
      </c>
    </row>
    <row r="251" spans="3:5" s="74" customFormat="1" x14ac:dyDescent="0.2">
      <c r="C251" s="74">
        <v>30</v>
      </c>
      <c r="D251" s="74">
        <v>15.1</v>
      </c>
      <c r="E251" s="114">
        <f t="shared" ca="1" si="28"/>
        <v>6.9595234770827533E-2</v>
      </c>
    </row>
    <row r="252" spans="3:5" s="74" customFormat="1" x14ac:dyDescent="0.2">
      <c r="C252" s="74">
        <v>30</v>
      </c>
      <c r="D252" s="74">
        <v>15.2</v>
      </c>
      <c r="E252" s="114">
        <f t="shared" ca="1" si="28"/>
        <v>6.9647817452105742E-2</v>
      </c>
    </row>
    <row r="253" spans="3:5" s="74" customFormat="1" x14ac:dyDescent="0.2">
      <c r="C253" s="74">
        <v>30</v>
      </c>
      <c r="D253" s="74">
        <v>15.3</v>
      </c>
      <c r="E253" s="114">
        <f t="shared" ca="1" si="28"/>
        <v>6.9700748576976751E-2</v>
      </c>
    </row>
    <row r="254" spans="3:5" s="74" customFormat="1" x14ac:dyDescent="0.2">
      <c r="C254" s="74">
        <v>30</v>
      </c>
      <c r="D254" s="74">
        <v>15.4</v>
      </c>
      <c r="E254" s="114">
        <f t="shared" ca="1" si="28"/>
        <v>6.9754025791091967E-2</v>
      </c>
    </row>
    <row r="255" spans="3:5" s="74" customFormat="1" x14ac:dyDescent="0.2">
      <c r="C255" s="74">
        <v>30</v>
      </c>
      <c r="D255" s="74">
        <v>15.5</v>
      </c>
      <c r="E255" s="114">
        <f t="shared" ca="1" si="28"/>
        <v>6.9807646740102786E-2</v>
      </c>
    </row>
    <row r="256" spans="3:5" s="74" customFormat="1" x14ac:dyDescent="0.2">
      <c r="C256" s="74">
        <v>30</v>
      </c>
      <c r="D256" s="74">
        <v>15.6</v>
      </c>
      <c r="E256" s="114">
        <f t="shared" ca="1" si="28"/>
        <v>6.9861609069660602E-2</v>
      </c>
    </row>
    <row r="257" spans="3:5" s="74" customFormat="1" x14ac:dyDescent="0.2">
      <c r="C257" s="74">
        <v>30</v>
      </c>
      <c r="D257" s="74">
        <v>15.7</v>
      </c>
      <c r="E257" s="114">
        <f t="shared" ca="1" si="28"/>
        <v>6.9915910425416838E-2</v>
      </c>
    </row>
    <row r="258" spans="3:5" s="74" customFormat="1" x14ac:dyDescent="0.2">
      <c r="C258" s="74">
        <v>30</v>
      </c>
      <c r="D258" s="74">
        <v>15.8</v>
      </c>
      <c r="E258" s="114">
        <f t="shared" ca="1" si="28"/>
        <v>6.9970548453022863E-2</v>
      </c>
    </row>
    <row r="259" spans="3:5" s="74" customFormat="1" x14ac:dyDescent="0.2">
      <c r="C259" s="74">
        <v>30</v>
      </c>
      <c r="D259" s="74">
        <v>15.9</v>
      </c>
      <c r="E259" s="114">
        <f t="shared" ca="1" si="28"/>
        <v>7.0025520798130084E-2</v>
      </c>
    </row>
    <row r="260" spans="3:5" s="74" customFormat="1" x14ac:dyDescent="0.2">
      <c r="C260" s="74">
        <v>30</v>
      </c>
      <c r="D260" s="74">
        <v>16</v>
      </c>
      <c r="E260" s="114">
        <f t="shared" ca="1" si="28"/>
        <v>7.0080825106389924E-2</v>
      </c>
    </row>
    <row r="261" spans="3:5" s="74" customFormat="1" x14ac:dyDescent="0.2">
      <c r="C261" s="74">
        <v>30</v>
      </c>
      <c r="D261" s="74">
        <v>16.100000000000001</v>
      </c>
      <c r="E261" s="114">
        <f t="shared" ca="1" si="28"/>
        <v>7.0136459023453751E-2</v>
      </c>
    </row>
    <row r="262" spans="3:5" s="74" customFormat="1" x14ac:dyDescent="0.2">
      <c r="C262" s="74">
        <v>30</v>
      </c>
      <c r="D262" s="74">
        <v>16.2</v>
      </c>
      <c r="E262" s="114">
        <f t="shared" ca="1" si="28"/>
        <v>7.0192420194973001E-2</v>
      </c>
    </row>
    <row r="263" spans="3:5" s="74" customFormat="1" x14ac:dyDescent="0.2">
      <c r="C263" s="74">
        <v>30</v>
      </c>
      <c r="D263" s="74">
        <v>16.3</v>
      </c>
      <c r="E263" s="114">
        <f t="shared" ca="1" si="28"/>
        <v>7.0248706266599042E-2</v>
      </c>
    </row>
    <row r="264" spans="3:5" s="74" customFormat="1" x14ac:dyDescent="0.2">
      <c r="C264" s="74">
        <v>30</v>
      </c>
      <c r="D264" s="74">
        <v>16.399999999999999</v>
      </c>
      <c r="E264" s="114">
        <f t="shared" ca="1" si="28"/>
        <v>7.0305314883983283E-2</v>
      </c>
    </row>
    <row r="265" spans="3:5" s="74" customFormat="1" x14ac:dyDescent="0.2">
      <c r="C265" s="74">
        <v>30</v>
      </c>
      <c r="D265" s="74">
        <v>16.5</v>
      </c>
      <c r="E265" s="114">
        <f t="shared" ca="1" si="28"/>
        <v>7.0362243692777132E-2</v>
      </c>
    </row>
    <row r="266" spans="3:5" s="74" customFormat="1" x14ac:dyDescent="0.2">
      <c r="C266" s="74">
        <v>30</v>
      </c>
      <c r="D266" s="74">
        <v>16.600000000000001</v>
      </c>
      <c r="E266" s="114">
        <f t="shared" ca="1" si="28"/>
        <v>7.0419490338631985E-2</v>
      </c>
    </row>
    <row r="267" spans="3:5" s="74" customFormat="1" x14ac:dyDescent="0.2">
      <c r="C267" s="74">
        <v>30</v>
      </c>
      <c r="D267" s="74">
        <v>16.7</v>
      </c>
      <c r="E267" s="114">
        <f t="shared" ca="1" si="28"/>
        <v>7.0477052467199236E-2</v>
      </c>
    </row>
    <row r="268" spans="3:5" s="74" customFormat="1" x14ac:dyDescent="0.2">
      <c r="C268" s="74">
        <v>30</v>
      </c>
      <c r="D268" s="74">
        <v>16.8</v>
      </c>
      <c r="E268" s="114">
        <f t="shared" ca="1" si="28"/>
        <v>7.0534927724130295E-2</v>
      </c>
    </row>
    <row r="269" spans="3:5" s="74" customFormat="1" x14ac:dyDescent="0.2">
      <c r="C269" s="74">
        <v>30</v>
      </c>
      <c r="D269" s="74">
        <v>16.899999999999999</v>
      </c>
      <c r="E269" s="114">
        <f t="shared" ca="1" si="28"/>
        <v>7.0593113755076556E-2</v>
      </c>
    </row>
    <row r="270" spans="3:5" s="74" customFormat="1" x14ac:dyDescent="0.2">
      <c r="C270" s="74">
        <v>30</v>
      </c>
      <c r="D270" s="74">
        <v>17</v>
      </c>
      <c r="E270" s="114">
        <f t="shared" ca="1" si="28"/>
        <v>7.0651608205689415E-2</v>
      </c>
    </row>
    <row r="271" spans="3:5" s="74" customFormat="1" x14ac:dyDescent="0.2">
      <c r="C271" s="74">
        <v>30</v>
      </c>
      <c r="D271" s="74">
        <v>17.100000000000001</v>
      </c>
      <c r="E271" s="114">
        <f t="shared" ca="1" si="28"/>
        <v>7.071040872162028E-2</v>
      </c>
    </row>
    <row r="272" spans="3:5" s="74" customFormat="1" x14ac:dyDescent="0.2">
      <c r="C272" s="74">
        <v>30</v>
      </c>
      <c r="D272" s="74">
        <v>17.2</v>
      </c>
      <c r="E272" s="114">
        <f t="shared" ca="1" si="28"/>
        <v>7.0769512948520547E-2</v>
      </c>
    </row>
    <row r="273" spans="3:5" s="74" customFormat="1" x14ac:dyDescent="0.2">
      <c r="C273" s="74">
        <v>30</v>
      </c>
      <c r="D273" s="74">
        <v>17.3</v>
      </c>
      <c r="E273" s="114">
        <f t="shared" ca="1" si="28"/>
        <v>7.0828918532041624E-2</v>
      </c>
    </row>
    <row r="274" spans="3:5" s="74" customFormat="1" x14ac:dyDescent="0.2">
      <c r="C274" s="74">
        <v>30</v>
      </c>
      <c r="D274" s="74">
        <v>17.399999999999999</v>
      </c>
      <c r="E274" s="114">
        <f t="shared" ca="1" si="28"/>
        <v>7.0888623117834892E-2</v>
      </c>
    </row>
    <row r="275" spans="3:5" s="74" customFormat="1" x14ac:dyDescent="0.2">
      <c r="C275" s="74">
        <v>30</v>
      </c>
      <c r="D275" s="74">
        <v>17.5</v>
      </c>
      <c r="E275" s="114">
        <f t="shared" ca="1" si="28"/>
        <v>7.0948624351551776E-2</v>
      </c>
    </row>
    <row r="276" spans="3:5" s="74" customFormat="1" x14ac:dyDescent="0.2">
      <c r="C276" s="74">
        <v>30</v>
      </c>
      <c r="D276" s="74">
        <v>17.600000000000001</v>
      </c>
      <c r="E276" s="114">
        <f t="shared" ca="1" si="28"/>
        <v>7.100891987884364E-2</v>
      </c>
    </row>
    <row r="277" spans="3:5" s="74" customFormat="1" x14ac:dyDescent="0.2">
      <c r="C277" s="74">
        <v>30</v>
      </c>
      <c r="D277" s="74">
        <v>17.7</v>
      </c>
      <c r="E277" s="114">
        <f t="shared" ca="1" si="28"/>
        <v>7.1069507345361924E-2</v>
      </c>
    </row>
    <row r="278" spans="3:5" s="74" customFormat="1" x14ac:dyDescent="0.2">
      <c r="C278" s="74">
        <v>30</v>
      </c>
      <c r="D278" s="74">
        <v>17.8</v>
      </c>
      <c r="E278" s="114">
        <f t="shared" ca="1" si="28"/>
        <v>7.113038439675802E-2</v>
      </c>
    </row>
    <row r="279" spans="3:5" s="74" customFormat="1" x14ac:dyDescent="0.2">
      <c r="C279" s="74">
        <v>30</v>
      </c>
      <c r="D279" s="74">
        <v>17.899999999999999</v>
      </c>
      <c r="E279" s="114">
        <f t="shared" ca="1" si="28"/>
        <v>7.1191548678683297E-2</v>
      </c>
    </row>
    <row r="280" spans="3:5" s="74" customFormat="1" x14ac:dyDescent="0.2">
      <c r="C280" s="74">
        <v>30</v>
      </c>
      <c r="D280" s="74">
        <v>18</v>
      </c>
      <c r="E280" s="114">
        <f t="shared" ca="1" si="28"/>
        <v>7.1252997836789192E-2</v>
      </c>
    </row>
    <row r="281" spans="3:5" s="74" customFormat="1" x14ac:dyDescent="0.2">
      <c r="C281" s="74">
        <v>30</v>
      </c>
      <c r="D281" s="74">
        <v>18.100000000000001</v>
      </c>
      <c r="E281" s="114">
        <f t="shared" ca="1" si="28"/>
        <v>7.1314729516727085E-2</v>
      </c>
    </row>
    <row r="282" spans="3:5" s="74" customFormat="1" x14ac:dyDescent="0.2">
      <c r="C282" s="74">
        <v>30</v>
      </c>
      <c r="D282" s="74">
        <v>18.2</v>
      </c>
      <c r="E282" s="114">
        <f t="shared" ca="1" si="28"/>
        <v>7.1376741364148372E-2</v>
      </c>
    </row>
    <row r="283" spans="3:5" s="74" customFormat="1" x14ac:dyDescent="0.2">
      <c r="C283" s="74">
        <v>30</v>
      </c>
      <c r="D283" s="74">
        <v>18.3</v>
      </c>
      <c r="E283" s="114">
        <f t="shared" ca="1" si="28"/>
        <v>7.1439031024704475E-2</v>
      </c>
    </row>
    <row r="284" spans="3:5" s="74" customFormat="1" x14ac:dyDescent="0.2">
      <c r="C284" s="74">
        <v>30</v>
      </c>
      <c r="D284" s="74">
        <v>18.399999999999999</v>
      </c>
      <c r="E284" s="114">
        <f t="shared" ca="1" si="28"/>
        <v>7.1501596144046775E-2</v>
      </c>
    </row>
    <row r="285" spans="3:5" s="74" customFormat="1" x14ac:dyDescent="0.2">
      <c r="C285" s="74">
        <v>30</v>
      </c>
      <c r="D285" s="74">
        <v>18.5</v>
      </c>
      <c r="E285" s="114">
        <f t="shared" ca="1" si="28"/>
        <v>7.1564434367826682E-2</v>
      </c>
    </row>
    <row r="286" spans="3:5" s="74" customFormat="1" x14ac:dyDescent="0.2">
      <c r="C286" s="74">
        <v>30</v>
      </c>
      <c r="D286" s="74">
        <v>18.600000000000001</v>
      </c>
      <c r="E286" s="114">
        <f t="shared" ca="1" si="28"/>
        <v>7.162754334169559E-2</v>
      </c>
    </row>
    <row r="287" spans="3:5" s="74" customFormat="1" x14ac:dyDescent="0.2">
      <c r="C287" s="74">
        <v>30</v>
      </c>
      <c r="D287" s="74">
        <v>18.7</v>
      </c>
      <c r="E287" s="114">
        <f t="shared" ca="1" si="28"/>
        <v>7.1690920711304895E-2</v>
      </c>
    </row>
    <row r="288" spans="3:5" s="74" customFormat="1" x14ac:dyDescent="0.2">
      <c r="C288" s="74">
        <v>30</v>
      </c>
      <c r="D288" s="74">
        <v>18.8</v>
      </c>
      <c r="E288" s="114">
        <f t="shared" ca="1" si="28"/>
        <v>7.1754564122306005E-2</v>
      </c>
    </row>
    <row r="289" spans="3:5" s="74" customFormat="1" x14ac:dyDescent="0.2">
      <c r="C289" s="74">
        <v>30</v>
      </c>
      <c r="D289" s="74">
        <v>18.899999999999999</v>
      </c>
      <c r="E289" s="114">
        <f t="shared" ca="1" si="28"/>
        <v>7.1818471220350316E-2</v>
      </c>
    </row>
    <row r="290" spans="3:5" s="74" customFormat="1" x14ac:dyDescent="0.2">
      <c r="C290" s="74">
        <v>30</v>
      </c>
      <c r="D290" s="74">
        <v>19</v>
      </c>
      <c r="E290" s="114">
        <f t="shared" ca="1" si="28"/>
        <v>7.1882639651089222E-2</v>
      </c>
    </row>
    <row r="291" spans="3:5" s="74" customFormat="1" x14ac:dyDescent="0.2">
      <c r="C291" s="74">
        <v>30</v>
      </c>
      <c r="D291" s="74">
        <v>19.100000000000001</v>
      </c>
      <c r="E291" s="114">
        <f t="shared" ca="1" si="28"/>
        <v>7.1947067060174147E-2</v>
      </c>
    </row>
    <row r="292" spans="3:5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7.2011751093256471E-2</v>
      </c>
    </row>
    <row r="293" spans="3:5" s="74" customFormat="1" x14ac:dyDescent="0.2">
      <c r="C293" s="74">
        <v>30</v>
      </c>
      <c r="D293" s="74">
        <v>19.3</v>
      </c>
      <c r="E293" s="114">
        <f t="shared" ca="1" si="29"/>
        <v>7.2076689395987589E-2</v>
      </c>
    </row>
    <row r="294" spans="3:5" s="74" customFormat="1" x14ac:dyDescent="0.2">
      <c r="C294" s="74">
        <v>30</v>
      </c>
      <c r="D294" s="74">
        <v>19.399999999999999</v>
      </c>
      <c r="E294" s="114">
        <f t="shared" ca="1" si="29"/>
        <v>7.2141879614018911E-2</v>
      </c>
    </row>
    <row r="295" spans="3:5" s="74" customFormat="1" x14ac:dyDescent="0.2">
      <c r="C295" s="74">
        <v>30</v>
      </c>
      <c r="D295" s="74">
        <v>19.5</v>
      </c>
      <c r="E295" s="114">
        <f t="shared" ca="1" si="29"/>
        <v>7.2207319393001845E-2</v>
      </c>
    </row>
    <row r="296" spans="3:5" s="74" customFormat="1" x14ac:dyDescent="0.2">
      <c r="C296" s="74">
        <v>30</v>
      </c>
      <c r="D296" s="74">
        <v>19.600000000000001</v>
      </c>
      <c r="E296" s="114">
        <f t="shared" ca="1" si="29"/>
        <v>7.2273006378587773E-2</v>
      </c>
    </row>
    <row r="297" spans="3:5" s="74" customFormat="1" x14ac:dyDescent="0.2">
      <c r="C297" s="74">
        <v>30</v>
      </c>
      <c r="D297" s="74">
        <v>19.7</v>
      </c>
      <c r="E297" s="114">
        <f t="shared" ca="1" si="29"/>
        <v>7.2338938216428103E-2</v>
      </c>
    </row>
    <row r="298" spans="3:5" s="74" customFormat="1" x14ac:dyDescent="0.2">
      <c r="C298" s="74">
        <v>30</v>
      </c>
      <c r="D298" s="74">
        <v>19.8</v>
      </c>
      <c r="E298" s="114">
        <f t="shared" ca="1" si="29"/>
        <v>7.2405112552174231E-2</v>
      </c>
    </row>
    <row r="299" spans="3:5" s="74" customFormat="1" x14ac:dyDescent="0.2">
      <c r="C299" s="74">
        <v>30</v>
      </c>
      <c r="D299" s="74">
        <v>19.899999999999999</v>
      </c>
      <c r="E299" s="114">
        <f t="shared" ca="1" si="29"/>
        <v>7.2471527031477564E-2</v>
      </c>
    </row>
    <row r="300" spans="3:5" s="74" customFormat="1" x14ac:dyDescent="0.2">
      <c r="C300" s="74">
        <v>30</v>
      </c>
      <c r="D300" s="74">
        <v>20</v>
      </c>
      <c r="E300" s="114">
        <f t="shared" ca="1" si="29"/>
        <v>7.25381792999895E-2</v>
      </c>
    </row>
    <row r="301" spans="3:5" s="74" customFormat="1" x14ac:dyDescent="0.2">
      <c r="C301" s="74">
        <v>30</v>
      </c>
      <c r="D301" s="74">
        <v>20.100000000000001</v>
      </c>
      <c r="E301" s="114">
        <f t="shared" ca="1" si="29"/>
        <v>7.2605067003361445E-2</v>
      </c>
    </row>
    <row r="302" spans="3:5" s="74" customFormat="1" x14ac:dyDescent="0.2">
      <c r="C302" s="74">
        <v>30</v>
      </c>
      <c r="D302" s="74">
        <v>20.2</v>
      </c>
      <c r="E302" s="114">
        <f t="shared" ca="1" si="29"/>
        <v>7.2672187787244782E-2</v>
      </c>
    </row>
    <row r="303" spans="3:5" s="74" customFormat="1" x14ac:dyDescent="0.2">
      <c r="C303" s="74">
        <v>30</v>
      </c>
      <c r="D303" s="74">
        <v>20.3</v>
      </c>
      <c r="E303" s="114">
        <f t="shared" ca="1" si="29"/>
        <v>7.2739539297290934E-2</v>
      </c>
    </row>
    <row r="304" spans="3:5" s="74" customFormat="1" x14ac:dyDescent="0.2">
      <c r="C304" s="74">
        <v>30</v>
      </c>
      <c r="D304" s="74">
        <v>20.399999999999999</v>
      </c>
      <c r="E304" s="114">
        <f t="shared" ca="1" si="29"/>
        <v>7.2807119179151281E-2</v>
      </c>
    </row>
    <row r="305" spans="3:5" s="74" customFormat="1" x14ac:dyDescent="0.2">
      <c r="C305" s="74">
        <v>30</v>
      </c>
      <c r="D305" s="74">
        <v>20.5</v>
      </c>
      <c r="E305" s="114">
        <f t="shared" ca="1" si="29"/>
        <v>7.2874925078477232E-2</v>
      </c>
    </row>
    <row r="306" spans="3:5" s="74" customFormat="1" x14ac:dyDescent="0.2">
      <c r="C306" s="74">
        <v>30</v>
      </c>
      <c r="D306" s="74">
        <v>20.6</v>
      </c>
      <c r="E306" s="114">
        <f t="shared" ca="1" si="29"/>
        <v>7.2942954640920182E-2</v>
      </c>
    </row>
    <row r="307" spans="3:5" s="74" customFormat="1" x14ac:dyDescent="0.2">
      <c r="C307" s="74">
        <v>30</v>
      </c>
      <c r="D307" s="74">
        <v>20.7</v>
      </c>
      <c r="E307" s="114">
        <f t="shared" ca="1" si="29"/>
        <v>7.3011205512131527E-2</v>
      </c>
    </row>
    <row r="308" spans="3:5" s="74" customFormat="1" x14ac:dyDescent="0.2">
      <c r="C308" s="74">
        <v>30</v>
      </c>
      <c r="D308" s="74">
        <v>20.8</v>
      </c>
      <c r="E308" s="114">
        <f t="shared" ca="1" si="29"/>
        <v>7.307967533776269E-2</v>
      </c>
    </row>
    <row r="309" spans="3:5" s="74" customFormat="1" x14ac:dyDescent="0.2">
      <c r="C309" s="74">
        <v>30</v>
      </c>
      <c r="D309" s="74">
        <v>20.9</v>
      </c>
      <c r="E309" s="114">
        <f t="shared" ca="1" si="29"/>
        <v>7.3148361763465036E-2</v>
      </c>
    </row>
    <row r="310" spans="3:5" s="74" customFormat="1" x14ac:dyDescent="0.2">
      <c r="C310" s="74">
        <v>30</v>
      </c>
      <c r="D310" s="74">
        <v>21</v>
      </c>
      <c r="E310" s="114">
        <f t="shared" ca="1" si="29"/>
        <v>7.3217262434890004E-2</v>
      </c>
    </row>
    <row r="311" spans="3:5" s="74" customFormat="1" x14ac:dyDescent="0.2">
      <c r="C311" s="74">
        <v>30</v>
      </c>
      <c r="D311" s="74">
        <v>21.1</v>
      </c>
      <c r="E311" s="114">
        <f t="shared" ca="1" si="29"/>
        <v>7.3286374997688961E-2</v>
      </c>
    </row>
    <row r="312" spans="3:5" s="74" customFormat="1" x14ac:dyDescent="0.2">
      <c r="C312" s="74">
        <v>30</v>
      </c>
      <c r="D312" s="74">
        <v>21.2</v>
      </c>
      <c r="E312" s="114">
        <f t="shared" ca="1" si="29"/>
        <v>7.3355697097513328E-2</v>
      </c>
    </row>
    <row r="313" spans="3:5" s="74" customFormat="1" x14ac:dyDescent="0.2">
      <c r="C313" s="74">
        <v>30</v>
      </c>
      <c r="D313" s="74">
        <v>21.3</v>
      </c>
      <c r="E313" s="114">
        <f t="shared" ca="1" si="29"/>
        <v>7.3425226380014488E-2</v>
      </c>
    </row>
    <row r="314" spans="3:5" s="74" customFormat="1" x14ac:dyDescent="0.2">
      <c r="C314" s="74">
        <v>30</v>
      </c>
      <c r="D314" s="74">
        <v>21.4</v>
      </c>
      <c r="E314" s="114">
        <f t="shared" ca="1" si="29"/>
        <v>7.349496049084385E-2</v>
      </c>
    </row>
    <row r="315" spans="3:5" s="74" customFormat="1" x14ac:dyDescent="0.2">
      <c r="C315" s="74">
        <v>30</v>
      </c>
      <c r="D315" s="74">
        <v>21.5</v>
      </c>
      <c r="E315" s="114">
        <f t="shared" ca="1" si="29"/>
        <v>7.3564897075652821E-2</v>
      </c>
    </row>
    <row r="316" spans="3:5" s="74" customFormat="1" x14ac:dyDescent="0.2">
      <c r="C316" s="74">
        <v>30</v>
      </c>
      <c r="D316" s="74">
        <v>21.6</v>
      </c>
      <c r="E316" s="114">
        <f t="shared" ca="1" si="29"/>
        <v>7.3635033780092798E-2</v>
      </c>
    </row>
    <row r="317" spans="3:5" s="74" customFormat="1" x14ac:dyDescent="0.2">
      <c r="C317" s="74">
        <v>30</v>
      </c>
      <c r="D317" s="74">
        <v>21.7</v>
      </c>
      <c r="E317" s="114">
        <f t="shared" ca="1" si="29"/>
        <v>7.3705368249815162E-2</v>
      </c>
    </row>
    <row r="318" spans="3:5" s="74" customFormat="1" x14ac:dyDescent="0.2">
      <c r="C318" s="74">
        <v>30</v>
      </c>
      <c r="D318" s="74">
        <v>21.8</v>
      </c>
      <c r="E318" s="114">
        <f t="shared" ca="1" si="29"/>
        <v>7.3775898130471335E-2</v>
      </c>
    </row>
    <row r="319" spans="3:5" s="74" customFormat="1" x14ac:dyDescent="0.2">
      <c r="C319" s="74">
        <v>30</v>
      </c>
      <c r="D319" s="74">
        <v>21.9</v>
      </c>
      <c r="E319" s="114">
        <f t="shared" ca="1" si="29"/>
        <v>7.3846621067712712E-2</v>
      </c>
    </row>
    <row r="320" spans="3:5" s="74" customFormat="1" x14ac:dyDescent="0.2">
      <c r="C320" s="74">
        <v>30</v>
      </c>
      <c r="D320" s="74">
        <v>22</v>
      </c>
      <c r="E320" s="114">
        <f t="shared" ca="1" si="29"/>
        <v>7.3917534707190688E-2</v>
      </c>
    </row>
    <row r="321" spans="3:5" s="74" customFormat="1" x14ac:dyDescent="0.2">
      <c r="C321" s="74">
        <v>30</v>
      </c>
      <c r="D321" s="74">
        <v>22.1</v>
      </c>
      <c r="E321" s="114">
        <f t="shared" ca="1" si="29"/>
        <v>7.3988636694556673E-2</v>
      </c>
    </row>
    <row r="322" spans="3:5" s="74" customFormat="1" x14ac:dyDescent="0.2">
      <c r="C322" s="74">
        <v>30</v>
      </c>
      <c r="D322" s="74">
        <v>22.2</v>
      </c>
      <c r="E322" s="114">
        <f t="shared" ca="1" si="29"/>
        <v>7.4059924675462047E-2</v>
      </c>
    </row>
    <row r="323" spans="3:5" s="74" customFormat="1" x14ac:dyDescent="0.2">
      <c r="C323" s="74">
        <v>30</v>
      </c>
      <c r="D323" s="74">
        <v>22.3</v>
      </c>
      <c r="E323" s="114">
        <f t="shared" ca="1" si="29"/>
        <v>7.4131396295558233E-2</v>
      </c>
    </row>
    <row r="324" spans="3:5" s="74" customFormat="1" x14ac:dyDescent="0.2">
      <c r="C324" s="74">
        <v>30</v>
      </c>
      <c r="D324" s="74">
        <v>22.4</v>
      </c>
      <c r="E324" s="114">
        <f t="shared" ca="1" si="29"/>
        <v>7.4203049200496626E-2</v>
      </c>
    </row>
    <row r="325" spans="3:5" s="74" customFormat="1" x14ac:dyDescent="0.2">
      <c r="C325" s="74">
        <v>30</v>
      </c>
      <c r="D325" s="74">
        <v>22.5</v>
      </c>
      <c r="E325" s="114">
        <f t="shared" ca="1" si="29"/>
        <v>7.4274881035928608E-2</v>
      </c>
    </row>
    <row r="326" spans="3:5" s="74" customFormat="1" x14ac:dyDescent="0.2">
      <c r="C326" s="74">
        <v>30</v>
      </c>
      <c r="D326" s="74">
        <v>22.6</v>
      </c>
      <c r="E326" s="114">
        <f t="shared" ca="1" si="29"/>
        <v>7.4346889447505601E-2</v>
      </c>
    </row>
    <row r="327" spans="3:5" s="74" customFormat="1" x14ac:dyDescent="0.2">
      <c r="C327" s="74">
        <v>30</v>
      </c>
      <c r="D327" s="74">
        <v>22.7</v>
      </c>
      <c r="E327" s="114">
        <f t="shared" ca="1" si="29"/>
        <v>7.4419072080878987E-2</v>
      </c>
    </row>
    <row r="328" spans="3:5" s="74" customFormat="1" x14ac:dyDescent="0.2">
      <c r="C328" s="74">
        <v>30</v>
      </c>
      <c r="D328" s="74">
        <v>22.8</v>
      </c>
      <c r="E328" s="114">
        <f t="shared" ca="1" si="29"/>
        <v>7.4491426581700174E-2</v>
      </c>
    </row>
    <row r="329" spans="3:5" s="74" customFormat="1" x14ac:dyDescent="0.2">
      <c r="C329" s="74">
        <v>30</v>
      </c>
      <c r="D329" s="74">
        <v>22.9</v>
      </c>
      <c r="E329" s="114">
        <f t="shared" ca="1" si="29"/>
        <v>7.4563950595620571E-2</v>
      </c>
    </row>
    <row r="330" spans="3:5" s="74" customFormat="1" x14ac:dyDescent="0.2">
      <c r="C330" s="74">
        <v>30</v>
      </c>
      <c r="D330" s="74">
        <v>23</v>
      </c>
      <c r="E330" s="114">
        <f t="shared" ca="1" si="29"/>
        <v>7.4636641768291559E-2</v>
      </c>
    </row>
    <row r="331" spans="3:5" s="74" customFormat="1" x14ac:dyDescent="0.2">
      <c r="C331" s="74">
        <v>30</v>
      </c>
      <c r="D331" s="74">
        <v>23.1</v>
      </c>
      <c r="E331" s="114">
        <f t="shared" ca="1" si="29"/>
        <v>7.4709497745364561E-2</v>
      </c>
    </row>
    <row r="332" spans="3:5" s="74" customFormat="1" x14ac:dyDescent="0.2">
      <c r="C332" s="74">
        <v>30</v>
      </c>
      <c r="D332" s="74">
        <v>23.2</v>
      </c>
      <c r="E332" s="114">
        <f t="shared" ca="1" si="29"/>
        <v>7.4782516172490959E-2</v>
      </c>
    </row>
    <row r="333" spans="3:5" s="74" customFormat="1" x14ac:dyDescent="0.2">
      <c r="C333" s="74">
        <v>30</v>
      </c>
      <c r="D333" s="74">
        <v>23.3</v>
      </c>
      <c r="E333" s="114">
        <f t="shared" ca="1" si="29"/>
        <v>7.4855694695322147E-2</v>
      </c>
    </row>
    <row r="334" spans="3:5" s="74" customFormat="1" x14ac:dyDescent="0.2">
      <c r="C334" s="74">
        <v>30</v>
      </c>
      <c r="D334" s="74">
        <v>23.4</v>
      </c>
      <c r="E334" s="114">
        <f t="shared" ca="1" si="29"/>
        <v>7.4929030959509549E-2</v>
      </c>
    </row>
    <row r="335" spans="3:5" s="74" customFormat="1" x14ac:dyDescent="0.2">
      <c r="C335" s="74">
        <v>30</v>
      </c>
      <c r="D335" s="74">
        <v>23.5</v>
      </c>
      <c r="E335" s="114">
        <f t="shared" ca="1" si="29"/>
        <v>7.5002522610704558E-2</v>
      </c>
    </row>
    <row r="336" spans="3:5" s="74" customFormat="1" x14ac:dyDescent="0.2">
      <c r="C336" s="74">
        <v>30</v>
      </c>
      <c r="D336" s="74">
        <v>23.6</v>
      </c>
      <c r="E336" s="114">
        <f t="shared" ca="1" si="29"/>
        <v>7.5076167294558557E-2</v>
      </c>
    </row>
    <row r="337" spans="3:5" s="74" customFormat="1" x14ac:dyDescent="0.2">
      <c r="C337" s="74">
        <v>30</v>
      </c>
      <c r="D337" s="74">
        <v>23.7</v>
      </c>
      <c r="E337" s="114">
        <f t="shared" ca="1" si="29"/>
        <v>7.5149962656722955E-2</v>
      </c>
    </row>
    <row r="338" spans="3:5" s="74" customFormat="1" x14ac:dyDescent="0.2">
      <c r="C338" s="74">
        <v>30</v>
      </c>
      <c r="D338" s="74">
        <v>23.8</v>
      </c>
      <c r="E338" s="114">
        <f t="shared" ca="1" si="29"/>
        <v>7.5223906342849173E-2</v>
      </c>
    </row>
    <row r="339" spans="3:5" s="74" customFormat="1" x14ac:dyDescent="0.2">
      <c r="C339" s="74">
        <v>30</v>
      </c>
      <c r="D339" s="74">
        <v>23.9</v>
      </c>
      <c r="E339" s="114">
        <f t="shared" ca="1" si="29"/>
        <v>7.5297995998588579E-2</v>
      </c>
    </row>
    <row r="340" spans="3:5" s="74" customFormat="1" x14ac:dyDescent="0.2">
      <c r="C340" s="74">
        <v>30</v>
      </c>
      <c r="D340" s="74">
        <v>24</v>
      </c>
      <c r="E340" s="114">
        <f t="shared" ca="1" si="29"/>
        <v>7.5372229269592583E-2</v>
      </c>
    </row>
    <row r="341" spans="3:5" s="74" customFormat="1" x14ac:dyDescent="0.2">
      <c r="C341" s="74">
        <v>30</v>
      </c>
      <c r="D341" s="74">
        <v>24.1</v>
      </c>
      <c r="E341" s="114">
        <f t="shared" ca="1" si="29"/>
        <v>7.5446603801512593E-2</v>
      </c>
    </row>
    <row r="342" spans="3:5" s="74" customFormat="1" x14ac:dyDescent="0.2">
      <c r="C342" s="74">
        <v>30</v>
      </c>
      <c r="D342" s="74">
        <v>24.2</v>
      </c>
      <c r="E342" s="114">
        <f t="shared" ca="1" si="29"/>
        <v>7.5521117240000005E-2</v>
      </c>
    </row>
    <row r="343" spans="3:5" s="74" customFormat="1" x14ac:dyDescent="0.2">
      <c r="C343" s="74">
        <v>30</v>
      </c>
      <c r="D343" s="74">
        <v>24.3</v>
      </c>
      <c r="E343" s="114">
        <f t="shared" ca="1" si="29"/>
        <v>7.5595767230706212E-2</v>
      </c>
    </row>
    <row r="344" spans="3:5" s="74" customFormat="1" x14ac:dyDescent="0.2">
      <c r="C344" s="74">
        <v>30</v>
      </c>
      <c r="D344" s="74">
        <v>24.4</v>
      </c>
      <c r="E344" s="114">
        <f t="shared" ca="1" si="29"/>
        <v>7.5670551419282625E-2</v>
      </c>
    </row>
    <row r="345" spans="3:5" s="74" customFormat="1" x14ac:dyDescent="0.2">
      <c r="C345" s="74">
        <v>30</v>
      </c>
      <c r="D345" s="74">
        <v>24.5</v>
      </c>
      <c r="E345" s="114">
        <f t="shared" ca="1" si="29"/>
        <v>7.5745467451380652E-2</v>
      </c>
    </row>
    <row r="346" spans="3:5" s="74" customFormat="1" x14ac:dyDescent="0.2">
      <c r="C346" s="74">
        <v>30</v>
      </c>
      <c r="D346" s="74">
        <v>24.6</v>
      </c>
      <c r="E346" s="114">
        <f t="shared" ca="1" si="29"/>
        <v>7.582051297265166E-2</v>
      </c>
    </row>
    <row r="347" spans="3:5" s="74" customFormat="1" x14ac:dyDescent="0.2">
      <c r="C347" s="74">
        <v>30</v>
      </c>
      <c r="D347" s="74">
        <v>24.7</v>
      </c>
      <c r="E347" s="114">
        <f t="shared" ca="1" si="29"/>
        <v>7.5895685628747073E-2</v>
      </c>
    </row>
    <row r="348" spans="3:5" s="74" customFormat="1" x14ac:dyDescent="0.2">
      <c r="C348" s="74">
        <v>30</v>
      </c>
      <c r="D348" s="74">
        <v>24.8</v>
      </c>
      <c r="E348" s="114">
        <f t="shared" ca="1" si="29"/>
        <v>7.5970983065318298E-2</v>
      </c>
    </row>
    <row r="349" spans="3:5" s="74" customFormat="1" x14ac:dyDescent="0.2">
      <c r="C349" s="74">
        <v>30</v>
      </c>
      <c r="D349" s="74">
        <v>24.9</v>
      </c>
      <c r="E349" s="114">
        <f t="shared" ca="1" si="29"/>
        <v>7.6046402928016718E-2</v>
      </c>
    </row>
    <row r="350" spans="3:5" s="74" customFormat="1" x14ac:dyDescent="0.2">
      <c r="C350" s="74">
        <v>30</v>
      </c>
      <c r="D350" s="74">
        <v>25</v>
      </c>
      <c r="E350" s="114">
        <f t="shared" ca="1" si="29"/>
        <v>7.6121942862493741E-2</v>
      </c>
    </row>
    <row r="351" spans="3:5" s="74" customFormat="1" x14ac:dyDescent="0.2">
      <c r="C351" s="74">
        <v>30</v>
      </c>
      <c r="D351" s="74">
        <v>25.1</v>
      </c>
      <c r="E351" s="114">
        <f t="shared" ca="1" si="29"/>
        <v>7.6197600514400762E-2</v>
      </c>
    </row>
    <row r="352" spans="3:5" s="74" customFormat="1" x14ac:dyDescent="0.2">
      <c r="C352" s="74">
        <v>30</v>
      </c>
      <c r="D352" s="74">
        <v>25.2</v>
      </c>
      <c r="E352" s="114">
        <f t="shared" ca="1" si="29"/>
        <v>7.6273373529389177E-2</v>
      </c>
    </row>
    <row r="353" spans="3:5" s="74" customFormat="1" x14ac:dyDescent="0.2">
      <c r="C353" s="74">
        <v>30</v>
      </c>
      <c r="D353" s="74">
        <v>25.3</v>
      </c>
      <c r="E353" s="114">
        <f t="shared" ca="1" si="29"/>
        <v>7.6349259553110407E-2</v>
      </c>
    </row>
    <row r="354" spans="3:5" s="74" customFormat="1" x14ac:dyDescent="0.2">
      <c r="C354" s="74">
        <v>30</v>
      </c>
      <c r="D354" s="74">
        <v>25.4</v>
      </c>
      <c r="E354" s="114">
        <f t="shared" ca="1" si="29"/>
        <v>7.6425256231215835E-2</v>
      </c>
    </row>
    <row r="355" spans="3:5" s="74" customFormat="1" x14ac:dyDescent="0.2">
      <c r="C355" s="74">
        <v>30</v>
      </c>
      <c r="D355" s="74">
        <v>25.5</v>
      </c>
      <c r="E355" s="114">
        <f t="shared" ca="1" si="29"/>
        <v>7.6501361209356855E-2</v>
      </c>
    </row>
    <row r="356" spans="3:5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7.657757213318489E-2</v>
      </c>
    </row>
    <row r="357" spans="3:5" s="74" customFormat="1" x14ac:dyDescent="0.2">
      <c r="C357" s="74">
        <v>30</v>
      </c>
      <c r="D357" s="74">
        <v>25.7</v>
      </c>
      <c r="E357" s="114">
        <f t="shared" ca="1" si="30"/>
        <v>7.6653886648351321E-2</v>
      </c>
    </row>
    <row r="358" spans="3:5" s="74" customFormat="1" x14ac:dyDescent="0.2">
      <c r="C358" s="74">
        <v>30</v>
      </c>
      <c r="D358" s="74">
        <v>25.8</v>
      </c>
      <c r="E358" s="114">
        <f t="shared" ca="1" si="30"/>
        <v>7.6730302400507544E-2</v>
      </c>
    </row>
    <row r="359" spans="3:5" s="74" customFormat="1" x14ac:dyDescent="0.2">
      <c r="C359" s="74">
        <v>30</v>
      </c>
      <c r="D359" s="74">
        <v>25.9</v>
      </c>
      <c r="E359" s="114">
        <f t="shared" ca="1" si="30"/>
        <v>7.6806817035304981E-2</v>
      </c>
    </row>
    <row r="360" spans="3:5" s="74" customFormat="1" x14ac:dyDescent="0.2">
      <c r="C360" s="74">
        <v>30</v>
      </c>
      <c r="D360" s="74">
        <v>26</v>
      </c>
      <c r="E360" s="114">
        <f t="shared" ca="1" si="30"/>
        <v>7.6883428198394999E-2</v>
      </c>
    </row>
    <row r="361" spans="3:5" s="74" customFormat="1" x14ac:dyDescent="0.2">
      <c r="C361" s="74">
        <v>30</v>
      </c>
      <c r="D361" s="74">
        <v>26.1</v>
      </c>
      <c r="E361" s="114">
        <f t="shared" ca="1" si="30"/>
        <v>7.6960133535429034E-2</v>
      </c>
    </row>
    <row r="362" spans="3:5" s="74" customFormat="1" x14ac:dyDescent="0.2">
      <c r="C362" s="74">
        <v>30</v>
      </c>
      <c r="D362" s="74">
        <v>26.2</v>
      </c>
      <c r="E362" s="114">
        <f t="shared" ca="1" si="30"/>
        <v>7.703693069205847E-2</v>
      </c>
    </row>
    <row r="363" spans="3:5" s="74" customFormat="1" x14ac:dyDescent="0.2">
      <c r="C363" s="74">
        <v>30</v>
      </c>
      <c r="D363" s="74">
        <v>26.3</v>
      </c>
      <c r="E363" s="114">
        <f t="shared" ca="1" si="30"/>
        <v>7.7113817313934713E-2</v>
      </c>
    </row>
    <row r="364" spans="3:5" s="74" customFormat="1" x14ac:dyDescent="0.2">
      <c r="C364" s="74">
        <v>30</v>
      </c>
      <c r="D364" s="74">
        <v>26.4</v>
      </c>
      <c r="E364" s="114">
        <f t="shared" ca="1" si="30"/>
        <v>7.7190791046709131E-2</v>
      </c>
    </row>
    <row r="365" spans="3:5" s="74" customFormat="1" x14ac:dyDescent="0.2">
      <c r="C365" s="74">
        <v>30</v>
      </c>
      <c r="D365" s="74">
        <v>26.5</v>
      </c>
      <c r="E365" s="114">
        <f t="shared" ca="1" si="30"/>
        <v>7.7267849536033176E-2</v>
      </c>
    </row>
    <row r="366" spans="3:5" s="74" customFormat="1" x14ac:dyDescent="0.2">
      <c r="C366" s="74">
        <v>30</v>
      </c>
      <c r="D366" s="74">
        <v>26.6</v>
      </c>
      <c r="E366" s="114">
        <f t="shared" ca="1" si="30"/>
        <v>7.7344990427558213E-2</v>
      </c>
    </row>
    <row r="367" spans="3:5" s="74" customFormat="1" x14ac:dyDescent="0.2">
      <c r="C367" s="74">
        <v>30</v>
      </c>
      <c r="D367" s="74">
        <v>26.7</v>
      </c>
      <c r="E367" s="114">
        <f t="shared" ca="1" si="30"/>
        <v>7.7422211366935639E-2</v>
      </c>
    </row>
    <row r="368" spans="3:5" s="74" customFormat="1" x14ac:dyDescent="0.2">
      <c r="C368" s="74">
        <v>30</v>
      </c>
      <c r="D368" s="74">
        <v>26.8</v>
      </c>
      <c r="E368" s="114">
        <f t="shared" ca="1" si="30"/>
        <v>7.749950999981689E-2</v>
      </c>
    </row>
    <row r="369" spans="3:5" s="74" customFormat="1" x14ac:dyDescent="0.2">
      <c r="C369" s="74">
        <v>30</v>
      </c>
      <c r="D369" s="74">
        <v>26.9</v>
      </c>
      <c r="E369" s="114">
        <f t="shared" ca="1" si="30"/>
        <v>7.7576883971853319E-2</v>
      </c>
    </row>
    <row r="370" spans="3:5" s="74" customFormat="1" x14ac:dyDescent="0.2">
      <c r="C370" s="74">
        <v>30</v>
      </c>
      <c r="D370" s="74">
        <v>27</v>
      </c>
      <c r="E370" s="114">
        <f t="shared" ca="1" si="30"/>
        <v>7.7654330928696363E-2</v>
      </c>
    </row>
    <row r="371" spans="3:5" s="74" customFormat="1" x14ac:dyDescent="0.2">
      <c r="C371" s="74">
        <v>30</v>
      </c>
      <c r="D371" s="74">
        <v>27.1</v>
      </c>
      <c r="E371" s="114">
        <f t="shared" ca="1" si="30"/>
        <v>7.7731848515997404E-2</v>
      </c>
    </row>
    <row r="372" spans="3:5" s="74" customFormat="1" x14ac:dyDescent="0.2">
      <c r="C372" s="74">
        <v>30</v>
      </c>
      <c r="D372" s="74">
        <v>27.2</v>
      </c>
      <c r="E372" s="114">
        <f t="shared" ca="1" si="30"/>
        <v>7.7809434379407835E-2</v>
      </c>
    </row>
    <row r="373" spans="3:5" s="74" customFormat="1" x14ac:dyDescent="0.2">
      <c r="C373" s="74">
        <v>30</v>
      </c>
      <c r="D373" s="74">
        <v>27.3</v>
      </c>
      <c r="E373" s="114">
        <f t="shared" ca="1" si="30"/>
        <v>7.7887086164579081E-2</v>
      </c>
    </row>
    <row r="374" spans="3:5" s="74" customFormat="1" x14ac:dyDescent="0.2">
      <c r="C374" s="74">
        <v>30</v>
      </c>
      <c r="D374" s="74">
        <v>27.4</v>
      </c>
      <c r="E374" s="114">
        <f t="shared" ca="1" si="30"/>
        <v>7.7964801517162521E-2</v>
      </c>
    </row>
    <row r="375" spans="3:5" s="74" customFormat="1" x14ac:dyDescent="0.2">
      <c r="C375" s="74">
        <v>30</v>
      </c>
      <c r="D375" s="74">
        <v>27.5</v>
      </c>
      <c r="E375" s="114">
        <f t="shared" ca="1" si="30"/>
        <v>7.8042578082809566E-2</v>
      </c>
    </row>
    <row r="376" spans="3:5" s="74" customFormat="1" x14ac:dyDescent="0.2">
      <c r="C376" s="74">
        <v>30</v>
      </c>
      <c r="D376" s="74">
        <v>27.6</v>
      </c>
      <c r="E376" s="114">
        <f t="shared" ca="1" si="30"/>
        <v>7.812041350717161E-2</v>
      </c>
    </row>
    <row r="377" spans="3:5" s="74" customFormat="1" x14ac:dyDescent="0.2">
      <c r="C377" s="74">
        <v>30</v>
      </c>
      <c r="D377" s="74">
        <v>27.7</v>
      </c>
      <c r="E377" s="114">
        <f t="shared" ca="1" si="30"/>
        <v>7.8198305435900048E-2</v>
      </c>
    </row>
    <row r="378" spans="3:5" s="74" customFormat="1" x14ac:dyDescent="0.2">
      <c r="C378" s="74">
        <v>30</v>
      </c>
      <c r="D378" s="74">
        <v>27.8</v>
      </c>
      <c r="E378" s="114">
        <f t="shared" ca="1" si="30"/>
        <v>7.8276251514646303E-2</v>
      </c>
    </row>
    <row r="379" spans="3:5" s="74" customFormat="1" x14ac:dyDescent="0.2">
      <c r="C379" s="74">
        <v>30</v>
      </c>
      <c r="D379" s="74">
        <v>27.9</v>
      </c>
      <c r="E379" s="114">
        <f t="shared" ca="1" si="30"/>
        <v>7.8354249389061742E-2</v>
      </c>
    </row>
    <row r="380" spans="3:5" s="74" customFormat="1" x14ac:dyDescent="0.2">
      <c r="C380" s="74">
        <v>30</v>
      </c>
      <c r="D380" s="74">
        <v>28</v>
      </c>
      <c r="E380" s="114">
        <f t="shared" ca="1" si="30"/>
        <v>7.8432296704797788E-2</v>
      </c>
    </row>
    <row r="381" spans="3:5" s="74" customFormat="1" x14ac:dyDescent="0.2">
      <c r="C381" s="74">
        <v>30</v>
      </c>
      <c r="D381" s="74">
        <v>28.1</v>
      </c>
      <c r="E381" s="114">
        <f t="shared" ca="1" si="30"/>
        <v>7.8510391107505836E-2</v>
      </c>
    </row>
    <row r="382" spans="3:5" s="74" customFormat="1" x14ac:dyDescent="0.2">
      <c r="C382" s="74">
        <v>30</v>
      </c>
      <c r="D382" s="74">
        <v>28.2</v>
      </c>
      <c r="E382" s="114">
        <f t="shared" ca="1" si="30"/>
        <v>7.8588530242837268E-2</v>
      </c>
    </row>
    <row r="383" spans="3:5" s="74" customFormat="1" x14ac:dyDescent="0.2">
      <c r="C383" s="74">
        <v>30</v>
      </c>
      <c r="D383" s="74">
        <v>28.3</v>
      </c>
      <c r="E383" s="114">
        <f t="shared" ca="1" si="30"/>
        <v>7.8666711756443519E-2</v>
      </c>
    </row>
    <row r="384" spans="3:5" s="74" customFormat="1" x14ac:dyDescent="0.2">
      <c r="C384" s="74">
        <v>30</v>
      </c>
      <c r="D384" s="74">
        <v>28.4</v>
      </c>
      <c r="E384" s="114">
        <f t="shared" ca="1" si="30"/>
        <v>7.8744933293975972E-2</v>
      </c>
    </row>
    <row r="385" spans="3:5" s="74" customFormat="1" x14ac:dyDescent="0.2">
      <c r="C385" s="74">
        <v>30</v>
      </c>
      <c r="D385" s="74">
        <v>28.5</v>
      </c>
      <c r="E385" s="114">
        <f t="shared" ca="1" si="30"/>
        <v>7.882319250108602E-2</v>
      </c>
    </row>
    <row r="386" spans="3:5" s="74" customFormat="1" x14ac:dyDescent="0.2">
      <c r="C386" s="74">
        <v>30</v>
      </c>
      <c r="D386" s="74">
        <v>28.6</v>
      </c>
      <c r="E386" s="114">
        <f t="shared" ca="1" si="30"/>
        <v>7.890148702342506E-2</v>
      </c>
    </row>
    <row r="387" spans="3:5" s="74" customFormat="1" x14ac:dyDescent="0.2">
      <c r="C387" s="74">
        <v>30</v>
      </c>
      <c r="D387" s="74">
        <v>28.7</v>
      </c>
      <c r="E387" s="114">
        <f t="shared" ca="1" si="30"/>
        <v>7.8979814506644513E-2</v>
      </c>
    </row>
    <row r="388" spans="3:5" s="74" customFormat="1" x14ac:dyDescent="0.2">
      <c r="C388" s="74">
        <v>30</v>
      </c>
      <c r="D388" s="74">
        <v>28.8</v>
      </c>
      <c r="E388" s="114">
        <f t="shared" ca="1" si="30"/>
        <v>7.9058172596395762E-2</v>
      </c>
    </row>
    <row r="389" spans="3:5" s="74" customFormat="1" x14ac:dyDescent="0.2">
      <c r="C389" s="74">
        <v>30</v>
      </c>
      <c r="D389" s="74">
        <v>28.9</v>
      </c>
      <c r="E389" s="114">
        <f t="shared" ca="1" si="30"/>
        <v>7.9136558938330215E-2</v>
      </c>
    </row>
    <row r="390" spans="3:5" s="74" customFormat="1" x14ac:dyDescent="0.2">
      <c r="C390" s="74">
        <v>30</v>
      </c>
      <c r="D390" s="74">
        <v>29</v>
      </c>
      <c r="E390" s="114">
        <f t="shared" ca="1" si="30"/>
        <v>7.9214971178099253E-2</v>
      </c>
    </row>
    <row r="391" spans="3:5" s="74" customFormat="1" x14ac:dyDescent="0.2">
      <c r="C391" s="74">
        <v>30</v>
      </c>
      <c r="D391" s="74">
        <v>29.1</v>
      </c>
      <c r="E391" s="114">
        <f t="shared" ca="1" si="30"/>
        <v>7.9293406961354312E-2</v>
      </c>
    </row>
    <row r="392" spans="3:5" s="74" customFormat="1" x14ac:dyDescent="0.2">
      <c r="C392" s="74">
        <v>30</v>
      </c>
      <c r="D392" s="74">
        <v>29.2</v>
      </c>
      <c r="E392" s="114">
        <f t="shared" ca="1" si="30"/>
        <v>7.9371863933746761E-2</v>
      </c>
    </row>
    <row r="393" spans="3:5" s="74" customFormat="1" x14ac:dyDescent="0.2">
      <c r="C393" s="74">
        <v>30</v>
      </c>
      <c r="D393" s="74">
        <v>29.3</v>
      </c>
      <c r="E393" s="114">
        <f t="shared" ca="1" si="30"/>
        <v>7.9450339740928008E-2</v>
      </c>
    </row>
    <row r="394" spans="3:5" s="74" customFormat="1" x14ac:dyDescent="0.2">
      <c r="C394" s="74">
        <v>30</v>
      </c>
      <c r="D394" s="74">
        <v>29.4</v>
      </c>
      <c r="E394" s="114">
        <f t="shared" ca="1" si="30"/>
        <v>7.9528832028549448E-2</v>
      </c>
    </row>
    <row r="395" spans="3:5" s="74" customFormat="1" x14ac:dyDescent="0.2">
      <c r="C395" s="74">
        <v>30</v>
      </c>
      <c r="D395" s="74">
        <v>29.5</v>
      </c>
      <c r="E395" s="114">
        <f t="shared" ca="1" si="30"/>
        <v>7.9607338442262504E-2</v>
      </c>
    </row>
    <row r="396" spans="3:5" s="74" customFormat="1" x14ac:dyDescent="0.2">
      <c r="C396" s="74">
        <v>30</v>
      </c>
      <c r="D396" s="74">
        <v>29.6</v>
      </c>
      <c r="E396" s="114">
        <f t="shared" ca="1" si="30"/>
        <v>7.9685856627718557E-2</v>
      </c>
    </row>
    <row r="397" spans="3:5" s="74" customFormat="1" x14ac:dyDescent="0.2">
      <c r="C397" s="74">
        <v>30</v>
      </c>
      <c r="D397" s="74">
        <v>29.7</v>
      </c>
      <c r="E397" s="114">
        <f t="shared" ca="1" si="30"/>
        <v>7.9764384230569002E-2</v>
      </c>
    </row>
    <row r="398" spans="3:5" s="74" customFormat="1" x14ac:dyDescent="0.2">
      <c r="C398" s="74">
        <v>30</v>
      </c>
      <c r="D398" s="74">
        <v>29.8</v>
      </c>
      <c r="E398" s="114">
        <f t="shared" ca="1" si="30"/>
        <v>7.9842918896465262E-2</v>
      </c>
    </row>
    <row r="399" spans="3:5" s="74" customFormat="1" x14ac:dyDescent="0.2">
      <c r="C399" s="74">
        <v>30</v>
      </c>
      <c r="D399" s="74">
        <v>29.9</v>
      </c>
      <c r="E399" s="114">
        <f t="shared" ca="1" si="30"/>
        <v>7.9921458271058704E-2</v>
      </c>
    </row>
    <row r="400" spans="3:5" s="74" customFormat="1" x14ac:dyDescent="0.2">
      <c r="C400" s="74">
        <v>30</v>
      </c>
      <c r="D400" s="74">
        <v>30</v>
      </c>
      <c r="E400" s="114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178</v>
      </c>
      <c r="C11" s="55" t="s">
        <v>179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203</v>
      </c>
      <c r="C27" s="83" t="s">
        <v>204</v>
      </c>
      <c r="D27" s="83" t="s">
        <v>186</v>
      </c>
      <c r="F27" s="116" t="s">
        <v>290</v>
      </c>
      <c r="G27" s="116" t="s">
        <v>291</v>
      </c>
      <c r="H27" s="116" t="s">
        <v>292</v>
      </c>
      <c r="I27" s="116" t="s">
        <v>293</v>
      </c>
      <c r="J27" s="116" t="s">
        <v>294</v>
      </c>
      <c r="K27" s="116" t="s">
        <v>295</v>
      </c>
      <c r="L27" s="116" t="s">
        <v>296</v>
      </c>
      <c r="M27" s="116" t="s">
        <v>297</v>
      </c>
      <c r="N27" s="116" t="s">
        <v>298</v>
      </c>
      <c r="O27" s="116" t="s">
        <v>299</v>
      </c>
      <c r="P27" s="116" t="s">
        <v>300</v>
      </c>
      <c r="Q27" s="116" t="s">
        <v>301</v>
      </c>
      <c r="R27" s="93" t="s">
        <v>302</v>
      </c>
      <c r="S27" s="93" t="s">
        <v>303</v>
      </c>
      <c r="T27" s="93" t="s">
        <v>304</v>
      </c>
      <c r="U27" s="93" t="s">
        <v>305</v>
      </c>
      <c r="V27" s="93" t="s">
        <v>306</v>
      </c>
      <c r="W27" s="93" t="s">
        <v>307</v>
      </c>
      <c r="X27" s="93" t="s">
        <v>308</v>
      </c>
      <c r="Y27" s="93" t="s">
        <v>309</v>
      </c>
      <c r="Z27" s="93" t="s">
        <v>310</v>
      </c>
      <c r="AA27" s="93" t="s">
        <v>311</v>
      </c>
      <c r="AB27" s="93" t="s">
        <v>312</v>
      </c>
      <c r="AC27" s="93" t="s">
        <v>313</v>
      </c>
      <c r="AD27" s="93" t="s">
        <v>314</v>
      </c>
      <c r="AE27" s="93" t="s">
        <v>315</v>
      </c>
      <c r="AF27" s="93" t="s">
        <v>316</v>
      </c>
      <c r="AG27" s="93" t="s">
        <v>317</v>
      </c>
      <c r="AH27" s="93" t="s">
        <v>286</v>
      </c>
      <c r="AI27" s="93" t="s">
        <v>287</v>
      </c>
      <c r="AJ27" s="93" t="s">
        <v>318</v>
      </c>
      <c r="AK27" s="93" t="s">
        <v>319</v>
      </c>
      <c r="AL27" s="93"/>
      <c r="AM27" s="93"/>
      <c r="AN27" s="83" t="s">
        <v>285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9.6395439749487923E-3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9.639543974948794E-3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9.639543974948794E-3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-5.8829694944846243E-7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1.4662962988413091E-3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3.4207889110325772E-3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4.3978701902765427E-3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4.8863695128720059E-3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-1.7292330749307625E-5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3.2034503132570909E-3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7.0131351611933549E-3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8.4369247906656685E-3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1.4423752219087113E-4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7.1197248347874668E-4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7.0669333881322235E-3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9.1035769107491293E-3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-8.0804278818218602E-5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7.7229660634714513E-4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7.7473991537732757E-3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9.4310527790700035E-3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-2.2903587693738856E-5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1.0495849504607615E-4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8.0218015822318585E-3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9.5163965662009836E-3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1.3465393692506859E-6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1.9858140555737929E-5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6.4625275952075291E-3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1.0060606144683308E-2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286</v>
      </c>
      <c r="AN56" s="98">
        <v>-1.9116253652858064E-5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287</v>
      </c>
      <c r="AN57" s="98">
        <v>5.6702039956590424E-4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2.5204782849777359E-3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1.0186858119883926E-2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320</v>
      </c>
      <c r="C99" s="55" t="s">
        <v>252</v>
      </c>
      <c r="D99" s="55" t="s">
        <v>288</v>
      </c>
      <c r="E99" s="55" t="s">
        <v>289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-5.8829694944846243E-7</v>
      </c>
      <c r="F100" s="117">
        <v>0</v>
      </c>
      <c r="G100" s="117">
        <f ca="1">F100-E100</f>
        <v>5.8829694944846243E-7</v>
      </c>
      <c r="K100" s="74" t="s">
        <v>321</v>
      </c>
      <c r="L100" s="118"/>
      <c r="M100" s="74" t="s">
        <v>321</v>
      </c>
      <c r="O100" s="74" t="s">
        <v>321</v>
      </c>
      <c r="Q100" s="119"/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ca="1" si="26"/>
        <v>1.0694010842698678E-3</v>
      </c>
      <c r="F101" s="117" t="s">
        <v>322</v>
      </c>
      <c r="K101" s="74">
        <f ca="1">SUMSQ(G100,G110,G120,G130,G140,G150,G170,G200,G400)</f>
        <v>2.542865222957926E-4</v>
      </c>
      <c r="M101" s="74">
        <f ca="1">SUMSQ(I110,I120,I130,I140,I150,I170,I200)</f>
        <v>7.6599569541489115E-4</v>
      </c>
      <c r="O101" s="74">
        <f ca="1">K101+M101</f>
        <v>1.0202822177106836E-3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ca="1" si="26"/>
        <v>2.3900186088378528E-3</v>
      </c>
      <c r="F102" s="117" t="s">
        <v>322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ca="1" si="26"/>
        <v>4.0191015406041983E-3</v>
      </c>
      <c r="F103" s="117" t="s">
        <v>322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ca="1" si="26"/>
        <v>6.0144871434185988E-3</v>
      </c>
      <c r="F104" s="117" t="s">
        <v>322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ca="1" si="26"/>
        <v>8.434012681130745E-3</v>
      </c>
      <c r="F105" s="117" t="s">
        <v>322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ca="1" si="26"/>
        <v>1.1335515417590333E-2</v>
      </c>
      <c r="F106" s="117" t="s">
        <v>322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ca="1" si="26"/>
        <v>1.4776832616647051E-2</v>
      </c>
      <c r="F107" s="117" t="s">
        <v>322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ca="1" si="26"/>
        <v>1.8815801542150602E-2</v>
      </c>
      <c r="F108" s="117" t="s">
        <v>322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ca="1" si="26"/>
        <v>2.3510259457950662E-2</v>
      </c>
      <c r="F109" s="117" t="s">
        <v>322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ca="1" si="26"/>
        <v>1.4171324913022434E-2</v>
      </c>
      <c r="F110" s="117">
        <v>0.02</v>
      </c>
      <c r="G110" s="117">
        <f ca="1">F110-E110</f>
        <v>5.828675086977566E-3</v>
      </c>
      <c r="H110" s="117">
        <f ca="1">INDIRECT("a_" &amp; i_1) * t^3 + INDIRECT("b_" &amp; i_1) * t^2 + INDIRECT("c_" &amp; i_1) * t^1 + INDIRECT("d_" &amp; i_1)</f>
        <v>2.8918043627896933E-2</v>
      </c>
      <c r="I110" s="117">
        <f ca="1">H110-E110</f>
        <v>1.4746718714874499E-2</v>
      </c>
      <c r="K110" s="119"/>
      <c r="Q110" s="119"/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ca="1" si="26"/>
        <v>1.5814821678283405E-2</v>
      </c>
      <c r="F111" s="117" t="s">
        <v>322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ca="1" si="26"/>
        <v>1.7623509777488552E-2</v>
      </c>
      <c r="F112" s="117" t="s">
        <v>322</v>
      </c>
      <c r="AO112" s="74"/>
      <c r="AP112" s="74"/>
      <c r="AQ112" s="74"/>
    </row>
    <row r="113" spans="2:17" s="74" customFormat="1" x14ac:dyDescent="0.2">
      <c r="C113" s="74">
        <v>2</v>
      </c>
      <c r="D113" s="74">
        <v>1.3</v>
      </c>
      <c r="E113" s="114">
        <f t="shared" ca="1" si="26"/>
        <v>1.9606186988430925E-2</v>
      </c>
      <c r="F113" s="117" t="s">
        <v>322</v>
      </c>
    </row>
    <row r="114" spans="2:17" s="74" customFormat="1" x14ac:dyDescent="0.2">
      <c r="C114" s="74">
        <v>2</v>
      </c>
      <c r="D114" s="74">
        <v>1.4</v>
      </c>
      <c r="E114" s="114">
        <f t="shared" ca="1" si="26"/>
        <v>2.1771651088903568E-2</v>
      </c>
      <c r="F114" s="117" t="s">
        <v>322</v>
      </c>
    </row>
    <row r="115" spans="2:17" s="74" customFormat="1" x14ac:dyDescent="0.2">
      <c r="C115" s="74">
        <v>2</v>
      </c>
      <c r="D115" s="74">
        <v>1.5</v>
      </c>
      <c r="E115" s="114">
        <f t="shared" ca="1" si="26"/>
        <v>2.4128699856699538E-2</v>
      </c>
      <c r="F115" s="117" t="s">
        <v>322</v>
      </c>
    </row>
    <row r="116" spans="2:17" s="74" customFormat="1" x14ac:dyDescent="0.2">
      <c r="C116" s="74">
        <v>2</v>
      </c>
      <c r="D116" s="74">
        <v>1.6</v>
      </c>
      <c r="E116" s="114">
        <f t="shared" ca="1" si="26"/>
        <v>2.6686131069611881E-2</v>
      </c>
      <c r="F116" s="117" t="s">
        <v>322</v>
      </c>
    </row>
    <row r="117" spans="2:17" s="74" customFormat="1" x14ac:dyDescent="0.2">
      <c r="C117" s="74">
        <v>2</v>
      </c>
      <c r="D117" s="74">
        <v>1.7</v>
      </c>
      <c r="E117" s="114">
        <f t="shared" ca="1" si="26"/>
        <v>2.9452742505433626E-2</v>
      </c>
      <c r="F117" s="117" t="s">
        <v>322</v>
      </c>
    </row>
    <row r="118" spans="2:17" s="74" customFormat="1" x14ac:dyDescent="0.2">
      <c r="C118" s="74">
        <v>2</v>
      </c>
      <c r="D118" s="74">
        <v>1.8</v>
      </c>
      <c r="E118" s="114">
        <f t="shared" ca="1" si="26"/>
        <v>3.2437331941957845E-2</v>
      </c>
      <c r="F118" s="117" t="s">
        <v>322</v>
      </c>
    </row>
    <row r="119" spans="2:17" s="74" customFormat="1" x14ac:dyDescent="0.2">
      <c r="C119" s="74">
        <v>2</v>
      </c>
      <c r="D119" s="74">
        <v>1.9</v>
      </c>
      <c r="E119" s="114">
        <f t="shared" ca="1" si="26"/>
        <v>3.5648697156977577E-2</v>
      </c>
      <c r="F119" s="117" t="s">
        <v>322</v>
      </c>
    </row>
    <row r="120" spans="2:17" s="74" customFormat="1" x14ac:dyDescent="0.2">
      <c r="B120" s="74">
        <v>2</v>
      </c>
      <c r="C120" s="74">
        <v>3</v>
      </c>
      <c r="D120" s="74">
        <v>2</v>
      </c>
      <c r="E120" s="114">
        <f t="shared" ca="1" si="26"/>
        <v>3.5138657720086279E-2</v>
      </c>
      <c r="F120" s="117">
        <v>3.7869296080000003E-2</v>
      </c>
      <c r="G120" s="117">
        <f ca="1">F120-E120</f>
        <v>2.7306383599137243E-3</v>
      </c>
      <c r="H120" s="117">
        <f ca="1">INDIRECT("a_" &amp; i_1) * t^3 + INDIRECT("b_" &amp; i_1) * t^2 + INDIRECT("c_" &amp; i_1) * t^1 + INDIRECT("d_" &amp; i_1)</f>
        <v>3.9095635928285868E-2</v>
      </c>
      <c r="I120" s="117">
        <f ca="1">H120-E120</f>
        <v>3.9569782081995894E-3</v>
      </c>
      <c r="K120" s="119"/>
      <c r="Q120" s="119"/>
    </row>
    <row r="121" spans="2:17" s="74" customFormat="1" x14ac:dyDescent="0.2">
      <c r="C121" s="74">
        <v>3</v>
      </c>
      <c r="D121" s="74">
        <v>2.1</v>
      </c>
      <c r="E121" s="114">
        <f t="shared" ca="1" si="26"/>
        <v>3.7131580235566147E-2</v>
      </c>
      <c r="F121" s="117" t="s">
        <v>322</v>
      </c>
    </row>
    <row r="122" spans="2:17" s="74" customFormat="1" x14ac:dyDescent="0.2">
      <c r="C122" s="74">
        <v>3</v>
      </c>
      <c r="D122" s="74">
        <v>2.2000000000000002</v>
      </c>
      <c r="E122" s="114">
        <f t="shared" ca="1" si="26"/>
        <v>3.9186392923636744E-2</v>
      </c>
      <c r="F122" s="117" t="s">
        <v>322</v>
      </c>
    </row>
    <row r="123" spans="2:17" s="74" customFormat="1" x14ac:dyDescent="0.2">
      <c r="C123" s="74">
        <v>3</v>
      </c>
      <c r="D123" s="74">
        <v>2.2999999999999998</v>
      </c>
      <c r="E123" s="114">
        <f t="shared" ca="1" si="26"/>
        <v>4.1302992030313568E-2</v>
      </c>
      <c r="F123" s="117" t="s">
        <v>322</v>
      </c>
    </row>
    <row r="124" spans="2:17" s="74" customFormat="1" x14ac:dyDescent="0.2">
      <c r="C124" s="74">
        <v>3</v>
      </c>
      <c r="D124" s="74">
        <v>2.4</v>
      </c>
      <c r="E124" s="114">
        <f t="shared" ca="1" si="26"/>
        <v>4.3481273801612139E-2</v>
      </c>
      <c r="F124" s="117" t="s">
        <v>322</v>
      </c>
    </row>
    <row r="125" spans="2:17" s="74" customFormat="1" x14ac:dyDescent="0.2">
      <c r="C125" s="74">
        <v>3</v>
      </c>
      <c r="D125" s="74">
        <v>2.5</v>
      </c>
      <c r="E125" s="114">
        <f t="shared" ca="1" si="26"/>
        <v>4.5721134483547948E-2</v>
      </c>
      <c r="F125" s="117" t="s">
        <v>322</v>
      </c>
    </row>
    <row r="126" spans="2:17" s="74" customFormat="1" x14ac:dyDescent="0.2">
      <c r="C126" s="74">
        <v>3</v>
      </c>
      <c r="D126" s="74">
        <v>2.6</v>
      </c>
      <c r="E126" s="114">
        <f t="shared" ca="1" si="26"/>
        <v>4.8022470322136496E-2</v>
      </c>
      <c r="F126" s="117" t="s">
        <v>322</v>
      </c>
    </row>
    <row r="127" spans="2:17" s="74" customFormat="1" x14ac:dyDescent="0.2">
      <c r="C127" s="74">
        <v>3</v>
      </c>
      <c r="D127" s="74">
        <v>2.7</v>
      </c>
      <c r="E127" s="114">
        <f t="shared" ca="1" si="26"/>
        <v>5.0385177563393307E-2</v>
      </c>
      <c r="F127" s="117" t="s">
        <v>322</v>
      </c>
    </row>
    <row r="128" spans="2:17" s="74" customFormat="1" x14ac:dyDescent="0.2">
      <c r="C128" s="74">
        <v>3</v>
      </c>
      <c r="D128" s="74">
        <v>2.8</v>
      </c>
      <c r="E128" s="114">
        <f t="shared" ca="1" si="26"/>
        <v>5.2809152453333848E-2</v>
      </c>
      <c r="F128" s="117" t="s">
        <v>322</v>
      </c>
    </row>
    <row r="129" spans="2:17" s="74" customFormat="1" x14ac:dyDescent="0.2">
      <c r="C129" s="74">
        <v>3</v>
      </c>
      <c r="D129" s="74">
        <v>2.9</v>
      </c>
      <c r="E129" s="114">
        <f t="shared" ca="1" si="26"/>
        <v>5.5294291237973664E-2</v>
      </c>
      <c r="F129" s="117" t="s">
        <v>322</v>
      </c>
    </row>
    <row r="130" spans="2:17" s="74" customFormat="1" x14ac:dyDescent="0.2">
      <c r="B130" s="74">
        <v>3</v>
      </c>
      <c r="C130" s="74">
        <v>4</v>
      </c>
      <c r="D130" s="74">
        <v>3</v>
      </c>
      <c r="E130" s="114">
        <f t="shared" ca="1" si="26"/>
        <v>4.0606542525608039E-2</v>
      </c>
      <c r="F130" s="117">
        <v>4.4685005659999999E-2</v>
      </c>
      <c r="G130" s="117">
        <f ca="1">F130-E130</f>
        <v>4.0784631343919603E-3</v>
      </c>
      <c r="H130" s="117">
        <f ca="1">INDIRECT("a_" &amp; i_1) * t^3 + INDIRECT("b_" &amp; i_1) * t^2 + INDIRECT("c_" &amp; i_1) * t^1 + INDIRECT("d_" &amp; i_1)</f>
        <v>5.7840490163328248E-2</v>
      </c>
      <c r="I130" s="117">
        <f ca="1">H130-E130</f>
        <v>1.7233947637720209E-2</v>
      </c>
      <c r="K130" s="119"/>
      <c r="Q130" s="119"/>
    </row>
    <row r="131" spans="2:17" s="74" customFormat="1" x14ac:dyDescent="0.2">
      <c r="C131" s="74">
        <v>4</v>
      </c>
      <c r="D131" s="74">
        <v>3.1</v>
      </c>
      <c r="E131" s="114">
        <f t="shared" ca="1" si="26"/>
        <v>4.2150106003778026E-2</v>
      </c>
      <c r="F131" s="117" t="s">
        <v>322</v>
      </c>
    </row>
    <row r="132" spans="2:17" s="74" customFormat="1" x14ac:dyDescent="0.2">
      <c r="C132" s="74">
        <v>4</v>
      </c>
      <c r="D132" s="74">
        <v>3.2</v>
      </c>
      <c r="E132" s="114">
        <f t="shared" ca="1" si="26"/>
        <v>4.3734737110745082E-2</v>
      </c>
      <c r="F132" s="117" t="s">
        <v>322</v>
      </c>
    </row>
    <row r="133" spans="2:17" s="74" customFormat="1" x14ac:dyDescent="0.2">
      <c r="C133" s="74">
        <v>4</v>
      </c>
      <c r="D133" s="74">
        <v>3.3</v>
      </c>
      <c r="E133" s="114">
        <f t="shared" ca="1" si="26"/>
        <v>4.5361301271642354E-2</v>
      </c>
      <c r="F133" s="117" t="s">
        <v>322</v>
      </c>
    </row>
    <row r="134" spans="2:17" s="74" customFormat="1" x14ac:dyDescent="0.2">
      <c r="C134" s="74">
        <v>4</v>
      </c>
      <c r="D134" s="74">
        <v>3.4</v>
      </c>
      <c r="E134" s="114">
        <f t="shared" ca="1" si="26"/>
        <v>4.7030663911603002E-2</v>
      </c>
      <c r="F134" s="117" t="s">
        <v>322</v>
      </c>
    </row>
    <row r="135" spans="2:17" s="74" customFormat="1" x14ac:dyDescent="0.2">
      <c r="C135" s="74">
        <v>4</v>
      </c>
      <c r="D135" s="74">
        <v>3.5</v>
      </c>
      <c r="E135" s="114">
        <f t="shared" ca="1" si="26"/>
        <v>4.8743690455760158E-2</v>
      </c>
      <c r="F135" s="117" t="s">
        <v>322</v>
      </c>
    </row>
    <row r="136" spans="2:17" s="74" customFormat="1" x14ac:dyDescent="0.2">
      <c r="C136" s="74">
        <v>4</v>
      </c>
      <c r="D136" s="74">
        <v>3.6</v>
      </c>
      <c r="E136" s="114">
        <f t="shared" ca="1" si="26"/>
        <v>5.0501246329246977E-2</v>
      </c>
      <c r="F136" s="117" t="s">
        <v>322</v>
      </c>
    </row>
    <row r="137" spans="2:17" s="74" customFormat="1" x14ac:dyDescent="0.2">
      <c r="C137" s="74">
        <v>4</v>
      </c>
      <c r="D137" s="74">
        <v>3.7</v>
      </c>
      <c r="E137" s="114">
        <f t="shared" ca="1" si="26"/>
        <v>5.2304196957196597E-2</v>
      </c>
      <c r="F137" s="117" t="s">
        <v>322</v>
      </c>
    </row>
    <row r="138" spans="2:17" s="74" customFormat="1" x14ac:dyDescent="0.2">
      <c r="C138" s="74">
        <v>4</v>
      </c>
      <c r="D138" s="74">
        <v>3.8</v>
      </c>
      <c r="E138" s="114">
        <f t="shared" ca="1" si="26"/>
        <v>5.4153407764742159E-2</v>
      </c>
      <c r="F138" s="117" t="s">
        <v>322</v>
      </c>
    </row>
    <row r="139" spans="2:17" s="74" customFormat="1" x14ac:dyDescent="0.2">
      <c r="C139" s="74">
        <v>4</v>
      </c>
      <c r="D139" s="74">
        <v>3.9</v>
      </c>
      <c r="E139" s="114">
        <f t="shared" ca="1" si="26"/>
        <v>5.6049744177016823E-2</v>
      </c>
      <c r="F139" s="117" t="s">
        <v>322</v>
      </c>
    </row>
    <row r="140" spans="2:17" s="74" customFormat="1" x14ac:dyDescent="0.2">
      <c r="B140" s="74">
        <v>4</v>
      </c>
      <c r="C140" s="74">
        <v>5</v>
      </c>
      <c r="D140" s="74">
        <v>4</v>
      </c>
      <c r="E140" s="114">
        <f t="shared" ca="1" si="26"/>
        <v>4.7605921251351442E-2</v>
      </c>
      <c r="F140" s="117">
        <v>5.1500715240000002E-2</v>
      </c>
      <c r="G140" s="117">
        <f ca="1">F140-E140</f>
        <v>3.8947939886485594E-3</v>
      </c>
      <c r="H140" s="117">
        <f ca="1">INDIRECT("a_" &amp; i_1) * t^3 + INDIRECT("b_" &amp; i_1) * t^2 + INDIRECT("c_" &amp; i_1) * t^1 + INDIRECT("d_" &amp; i_1)</f>
        <v>5.7994071619153723E-2</v>
      </c>
      <c r="I140" s="117">
        <f ca="1">H140-E140</f>
        <v>1.038815036780228E-2</v>
      </c>
      <c r="K140" s="119"/>
      <c r="Q140" s="119"/>
    </row>
    <row r="141" spans="2:17" s="74" customFormat="1" x14ac:dyDescent="0.2">
      <c r="C141" s="74">
        <v>5</v>
      </c>
      <c r="D141" s="74">
        <v>4.0999999999999996</v>
      </c>
      <c r="E141" s="114">
        <f t="shared" ca="1" si="26"/>
        <v>4.8608583561805502E-2</v>
      </c>
      <c r="F141" s="117" t="s">
        <v>322</v>
      </c>
    </row>
    <row r="142" spans="2:17" s="74" customFormat="1" x14ac:dyDescent="0.2">
      <c r="C142" s="74">
        <v>5</v>
      </c>
      <c r="D142" s="74">
        <v>4.2</v>
      </c>
      <c r="E142" s="114">
        <f t="shared" ca="1" si="26"/>
        <v>4.9606813951797224E-2</v>
      </c>
      <c r="F142" s="117" t="s">
        <v>322</v>
      </c>
    </row>
    <row r="143" spans="2:17" s="74" customFormat="1" x14ac:dyDescent="0.2">
      <c r="C143" s="74">
        <v>5</v>
      </c>
      <c r="D143" s="74">
        <v>4.3</v>
      </c>
      <c r="E143" s="114">
        <f t="shared" ca="1" si="26"/>
        <v>5.0600127595653695E-2</v>
      </c>
      <c r="F143" s="117" t="s">
        <v>322</v>
      </c>
    </row>
    <row r="144" spans="2:17" s="74" customFormat="1" x14ac:dyDescent="0.2">
      <c r="C144" s="74">
        <v>5</v>
      </c>
      <c r="D144" s="74">
        <v>4.4000000000000004</v>
      </c>
      <c r="E144" s="114">
        <f t="shared" ca="1" si="26"/>
        <v>5.1588039667702014E-2</v>
      </c>
      <c r="F144" s="117" t="s">
        <v>322</v>
      </c>
    </row>
    <row r="145" spans="2:17" s="74" customFormat="1" x14ac:dyDescent="0.2">
      <c r="C145" s="74">
        <v>5</v>
      </c>
      <c r="D145" s="74">
        <v>4.5</v>
      </c>
      <c r="E145" s="114">
        <f t="shared" ca="1" si="26"/>
        <v>5.2570065342269261E-2</v>
      </c>
      <c r="F145" s="117" t="s">
        <v>322</v>
      </c>
    </row>
    <row r="146" spans="2:17" s="74" customFormat="1" x14ac:dyDescent="0.2">
      <c r="C146" s="74">
        <v>5</v>
      </c>
      <c r="D146" s="74">
        <v>4.5999999999999996</v>
      </c>
      <c r="E146" s="114">
        <f t="shared" ca="1" si="26"/>
        <v>5.3545719793682535E-2</v>
      </c>
      <c r="F146" s="117" t="s">
        <v>322</v>
      </c>
    </row>
    <row r="147" spans="2:17" s="74" customFormat="1" x14ac:dyDescent="0.2">
      <c r="C147" s="74">
        <v>5</v>
      </c>
      <c r="D147" s="74">
        <v>4.7</v>
      </c>
      <c r="E147" s="114">
        <f t="shared" ca="1" si="26"/>
        <v>5.451451819626893E-2</v>
      </c>
      <c r="F147" s="117" t="s">
        <v>322</v>
      </c>
    </row>
    <row r="148" spans="2:17" s="74" customFormat="1" x14ac:dyDescent="0.2">
      <c r="C148" s="74">
        <v>5</v>
      </c>
      <c r="D148" s="74">
        <v>4.8</v>
      </c>
      <c r="E148" s="114">
        <f t="shared" ca="1" si="26"/>
        <v>5.5475975724355524E-2</v>
      </c>
      <c r="F148" s="117" t="s">
        <v>322</v>
      </c>
    </row>
    <row r="149" spans="2:17" s="74" customFormat="1" x14ac:dyDescent="0.2">
      <c r="C149" s="74">
        <v>5</v>
      </c>
      <c r="D149" s="74">
        <v>4.9000000000000004</v>
      </c>
      <c r="E149" s="114">
        <f t="shared" ca="1" si="26"/>
        <v>5.642960755226941E-2</v>
      </c>
      <c r="F149" s="117" t="s">
        <v>322</v>
      </c>
    </row>
    <row r="150" spans="2:17" s="74" customFormat="1" x14ac:dyDescent="0.2">
      <c r="B150" s="74">
        <v>5</v>
      </c>
      <c r="C150" s="74">
        <v>7</v>
      </c>
      <c r="D150" s="74">
        <v>5</v>
      </c>
      <c r="E150" s="114">
        <f t="shared" ca="1" si="26"/>
        <v>4.938641839179482E-2</v>
      </c>
      <c r="F150" s="117">
        <v>5.8316424819999997E-2</v>
      </c>
      <c r="G150" s="117">
        <f ca="1">F150-E150</f>
        <v>8.9300064282051769E-3</v>
      </c>
      <c r="H150" s="117">
        <f ca="1">INDIRECT("a_" &amp; i_1) * t^3 + INDIRECT("b_" &amp; i_1) * t^2 + INDIRECT("c_" &amp; i_1) * t^1 + INDIRECT("d_" &amp; i_1)</f>
        <v>5.7374928854337683E-2</v>
      </c>
      <c r="I150" s="117">
        <f ca="1">H150-E150</f>
        <v>7.9885104625428624E-3</v>
      </c>
      <c r="K150" s="119"/>
      <c r="Q150" s="119"/>
    </row>
    <row r="151" spans="2:17" s="74" customFormat="1" x14ac:dyDescent="0.2">
      <c r="C151" s="74">
        <v>7</v>
      </c>
      <c r="D151" s="74">
        <v>5.0999999999999996</v>
      </c>
      <c r="E151" s="114">
        <f t="shared" ca="1" si="26"/>
        <v>5.0119371280569744E-2</v>
      </c>
      <c r="F151" s="117" t="s">
        <v>322</v>
      </c>
    </row>
    <row r="152" spans="2:17" s="74" customFormat="1" x14ac:dyDescent="0.2">
      <c r="C152" s="74">
        <v>7</v>
      </c>
      <c r="D152" s="74">
        <v>5.2</v>
      </c>
      <c r="E152" s="114">
        <f t="shared" ca="1" si="26"/>
        <v>5.0847414841411316E-2</v>
      </c>
      <c r="F152" s="117" t="s">
        <v>322</v>
      </c>
    </row>
    <row r="153" spans="2:17" s="74" customFormat="1" x14ac:dyDescent="0.2">
      <c r="C153" s="74">
        <v>7</v>
      </c>
      <c r="D153" s="74">
        <v>5.3</v>
      </c>
      <c r="E153" s="114">
        <f t="shared" ca="1" si="26"/>
        <v>5.1570411652793351E-2</v>
      </c>
      <c r="F153" s="117" t="s">
        <v>322</v>
      </c>
    </row>
    <row r="154" spans="2:17" s="74" customFormat="1" x14ac:dyDescent="0.2">
      <c r="C154" s="74">
        <v>7</v>
      </c>
      <c r="D154" s="74">
        <v>5.4</v>
      </c>
      <c r="E154" s="114">
        <f t="shared" ca="1" si="26"/>
        <v>5.228822429318971E-2</v>
      </c>
      <c r="F154" s="117" t="s">
        <v>322</v>
      </c>
    </row>
    <row r="155" spans="2:17" s="74" customFormat="1" x14ac:dyDescent="0.2">
      <c r="C155" s="74">
        <v>7</v>
      </c>
      <c r="D155" s="74">
        <v>5.5</v>
      </c>
      <c r="E155" s="114">
        <f t="shared" ca="1" si="26"/>
        <v>5.3000715341074207E-2</v>
      </c>
      <c r="F155" s="117" t="s">
        <v>322</v>
      </c>
    </row>
    <row r="156" spans="2:17" s="74" customFormat="1" x14ac:dyDescent="0.2">
      <c r="C156" s="74">
        <v>7</v>
      </c>
      <c r="D156" s="74">
        <v>5.6</v>
      </c>
      <c r="E156" s="114">
        <f t="shared" ca="1" si="26"/>
        <v>5.3707747374920699E-2</v>
      </c>
      <c r="F156" s="117" t="s">
        <v>322</v>
      </c>
    </row>
    <row r="157" spans="2:17" s="74" customFormat="1" x14ac:dyDescent="0.2">
      <c r="C157" s="74">
        <v>7</v>
      </c>
      <c r="D157" s="74">
        <v>5.7</v>
      </c>
      <c r="E157" s="114">
        <f t="shared" ca="1" si="26"/>
        <v>5.4409182973203012E-2</v>
      </c>
      <c r="F157" s="117" t="s">
        <v>322</v>
      </c>
    </row>
    <row r="158" spans="2:17" s="74" customFormat="1" x14ac:dyDescent="0.2">
      <c r="C158" s="74">
        <v>7</v>
      </c>
      <c r="D158" s="74">
        <v>5.8</v>
      </c>
      <c r="E158" s="114">
        <f t="shared" ca="1" si="26"/>
        <v>5.5104884714394987E-2</v>
      </c>
      <c r="F158" s="117" t="s">
        <v>322</v>
      </c>
    </row>
    <row r="159" spans="2:17" s="74" customFormat="1" x14ac:dyDescent="0.2">
      <c r="C159" s="74">
        <v>7</v>
      </c>
      <c r="D159" s="74">
        <v>5.9</v>
      </c>
      <c r="E159" s="114">
        <f t="shared" ca="1" si="26"/>
        <v>5.5794715176970468E-2</v>
      </c>
      <c r="F159" s="117" t="s">
        <v>322</v>
      </c>
    </row>
    <row r="160" spans="2:17" s="74" customFormat="1" x14ac:dyDescent="0.2">
      <c r="C160" s="74">
        <v>7</v>
      </c>
      <c r="D160" s="74">
        <v>6</v>
      </c>
      <c r="E160" s="114">
        <f t="shared" ca="1" si="26"/>
        <v>5.6478536939403287E-2</v>
      </c>
      <c r="F160" s="117" t="s">
        <v>322</v>
      </c>
    </row>
    <row r="161" spans="2:17" s="74" customFormat="1" x14ac:dyDescent="0.2">
      <c r="C161" s="74">
        <v>7</v>
      </c>
      <c r="D161" s="74">
        <v>6.1</v>
      </c>
      <c r="E161" s="114">
        <f t="shared" ca="1" si="26"/>
        <v>5.7156212580167273E-2</v>
      </c>
      <c r="F161" s="117" t="s">
        <v>322</v>
      </c>
    </row>
    <row r="162" spans="2:17" s="74" customFormat="1" x14ac:dyDescent="0.2">
      <c r="C162" s="74">
        <v>7</v>
      </c>
      <c r="D162" s="74">
        <v>6.2</v>
      </c>
      <c r="E162" s="114">
        <f t="shared" ca="1" si="26"/>
        <v>5.7827604677736288E-2</v>
      </c>
      <c r="F162" s="117" t="s">
        <v>322</v>
      </c>
    </row>
    <row r="163" spans="2:17" s="74" customFormat="1" x14ac:dyDescent="0.2">
      <c r="C163" s="74">
        <v>7</v>
      </c>
      <c r="D163" s="74">
        <v>6.3</v>
      </c>
      <c r="E163" s="114">
        <f t="shared" ca="1" si="26"/>
        <v>5.849257581058414E-2</v>
      </c>
      <c r="F163" s="117" t="s">
        <v>322</v>
      </c>
    </row>
    <row r="164" spans="2:17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5.9150988557184682E-2</v>
      </c>
      <c r="F164" s="117" t="s">
        <v>322</v>
      </c>
    </row>
    <row r="165" spans="2:17" s="74" customFormat="1" x14ac:dyDescent="0.2">
      <c r="C165" s="74">
        <v>7</v>
      </c>
      <c r="D165" s="74">
        <v>6.5</v>
      </c>
      <c r="E165" s="114">
        <f t="shared" ca="1" si="27"/>
        <v>5.980270549601175E-2</v>
      </c>
      <c r="F165" s="117" t="s">
        <v>322</v>
      </c>
    </row>
    <row r="166" spans="2:17" s="74" customFormat="1" x14ac:dyDescent="0.2">
      <c r="C166" s="74">
        <v>7</v>
      </c>
      <c r="D166" s="74">
        <v>6.6</v>
      </c>
      <c r="E166" s="114">
        <f t="shared" ca="1" si="27"/>
        <v>6.0447589205539179E-2</v>
      </c>
      <c r="F166" s="117" t="s">
        <v>322</v>
      </c>
    </row>
    <row r="167" spans="2:17" s="74" customFormat="1" x14ac:dyDescent="0.2">
      <c r="C167" s="74">
        <v>7</v>
      </c>
      <c r="D167" s="74">
        <v>6.7</v>
      </c>
      <c r="E167" s="114">
        <f t="shared" ca="1" si="27"/>
        <v>6.1085502264240817E-2</v>
      </c>
      <c r="F167" s="117" t="s">
        <v>322</v>
      </c>
    </row>
    <row r="168" spans="2:17" s="74" customFormat="1" x14ac:dyDescent="0.2">
      <c r="C168" s="74">
        <v>7</v>
      </c>
      <c r="D168" s="74">
        <v>6.8</v>
      </c>
      <c r="E168" s="114">
        <f t="shared" ca="1" si="27"/>
        <v>6.1716307250590491E-2</v>
      </c>
      <c r="F168" s="117" t="s">
        <v>322</v>
      </c>
    </row>
    <row r="169" spans="2:17" s="74" customFormat="1" x14ac:dyDescent="0.2">
      <c r="C169" s="74">
        <v>7</v>
      </c>
      <c r="D169" s="74">
        <v>6.9</v>
      </c>
      <c r="E169" s="114">
        <f t="shared" ca="1" si="27"/>
        <v>6.2339866743062043E-2</v>
      </c>
      <c r="F169" s="117" t="s">
        <v>322</v>
      </c>
    </row>
    <row r="170" spans="2:17" s="74" customFormat="1" x14ac:dyDescent="0.2">
      <c r="B170" s="74">
        <v>7</v>
      </c>
      <c r="C170" s="74">
        <v>10</v>
      </c>
      <c r="D170" s="74">
        <v>7</v>
      </c>
      <c r="E170" s="114">
        <f t="shared" ca="1" si="27"/>
        <v>5.6733211202020149E-2</v>
      </c>
      <c r="F170" s="117">
        <v>6.51321344E-2</v>
      </c>
      <c r="G170" s="117">
        <f ca="1">F170-E170</f>
        <v>8.3989231979798504E-3</v>
      </c>
      <c r="H170" s="117">
        <f ca="1">INDIRECT("a_" &amp; i_1) * t^3 + INDIRECT("b_" &amp; i_1) * t^2 + INDIRECT("c_" &amp; i_1) * t^1 + INDIRECT("d_" &amp; i_1)</f>
        <v>6.2956043320129301E-2</v>
      </c>
      <c r="I170" s="117">
        <f ca="1">H170-E170</f>
        <v>6.222832118109152E-3</v>
      </c>
      <c r="K170" s="119"/>
      <c r="Q170" s="119"/>
    </row>
    <row r="171" spans="2:17" s="74" customFormat="1" x14ac:dyDescent="0.2">
      <c r="C171" s="74">
        <v>10</v>
      </c>
      <c r="D171" s="74">
        <v>7.1</v>
      </c>
      <c r="E171" s="114">
        <f t="shared" ca="1" si="27"/>
        <v>5.7427542188259392E-2</v>
      </c>
      <c r="F171" s="117" t="s">
        <v>322</v>
      </c>
    </row>
    <row r="172" spans="2:17" s="74" customFormat="1" x14ac:dyDescent="0.2">
      <c r="C172" s="74">
        <v>10</v>
      </c>
      <c r="D172" s="74">
        <v>7.2</v>
      </c>
      <c r="E172" s="114">
        <f t="shared" ca="1" si="27"/>
        <v>5.8122843963081053E-2</v>
      </c>
      <c r="F172" s="117" t="s">
        <v>322</v>
      </c>
    </row>
    <row r="173" spans="2:17" s="74" customFormat="1" x14ac:dyDescent="0.2">
      <c r="C173" s="74">
        <v>10</v>
      </c>
      <c r="D173" s="74">
        <v>7.3</v>
      </c>
      <c r="E173" s="114">
        <f t="shared" ca="1" si="27"/>
        <v>5.8819124605721342E-2</v>
      </c>
      <c r="F173" s="117" t="s">
        <v>322</v>
      </c>
    </row>
    <row r="174" spans="2:17" s="74" customFormat="1" x14ac:dyDescent="0.2">
      <c r="C174" s="74">
        <v>10</v>
      </c>
      <c r="D174" s="74">
        <v>7.4</v>
      </c>
      <c r="E174" s="114">
        <f t="shared" ca="1" si="27"/>
        <v>5.9516392195416469E-2</v>
      </c>
      <c r="F174" s="117" t="s">
        <v>322</v>
      </c>
    </row>
    <row r="175" spans="2:17" s="74" customFormat="1" x14ac:dyDescent="0.2">
      <c r="C175" s="74">
        <v>10</v>
      </c>
      <c r="D175" s="74">
        <v>7.5</v>
      </c>
      <c r="E175" s="114">
        <f t="shared" ca="1" si="27"/>
        <v>6.0214654811402667E-2</v>
      </c>
      <c r="F175" s="117" t="s">
        <v>322</v>
      </c>
    </row>
    <row r="176" spans="2:17" s="74" customFormat="1" x14ac:dyDescent="0.2">
      <c r="C176" s="74">
        <v>10</v>
      </c>
      <c r="D176" s="74">
        <v>7.6</v>
      </c>
      <c r="E176" s="114">
        <f t="shared" ca="1" si="27"/>
        <v>6.0913920532916138E-2</v>
      </c>
      <c r="F176" s="117" t="s">
        <v>322</v>
      </c>
    </row>
    <row r="177" spans="3:6" s="74" customFormat="1" x14ac:dyDescent="0.2">
      <c r="C177" s="74">
        <v>10</v>
      </c>
      <c r="D177" s="74">
        <v>7.7</v>
      </c>
      <c r="E177" s="114">
        <f t="shared" ca="1" si="27"/>
        <v>6.1614197439193108E-2</v>
      </c>
      <c r="F177" s="117" t="s">
        <v>322</v>
      </c>
    </row>
    <row r="178" spans="3:6" s="74" customFormat="1" x14ac:dyDescent="0.2">
      <c r="C178" s="74">
        <v>10</v>
      </c>
      <c r="D178" s="74">
        <v>7.8</v>
      </c>
      <c r="E178" s="114">
        <f t="shared" ca="1" si="27"/>
        <v>6.231549360946978E-2</v>
      </c>
      <c r="F178" s="117" t="s">
        <v>322</v>
      </c>
    </row>
    <row r="179" spans="3:6" s="74" customFormat="1" x14ac:dyDescent="0.2">
      <c r="C179" s="74">
        <v>10</v>
      </c>
      <c r="D179" s="74">
        <v>7.9</v>
      </c>
      <c r="E179" s="114">
        <f t="shared" ca="1" si="27"/>
        <v>6.3017817122982378E-2</v>
      </c>
      <c r="F179" s="117" t="s">
        <v>322</v>
      </c>
    </row>
    <row r="180" spans="3:6" s="74" customFormat="1" x14ac:dyDescent="0.2">
      <c r="C180" s="74">
        <v>10</v>
      </c>
      <c r="D180" s="74">
        <v>8</v>
      </c>
      <c r="E180" s="114">
        <f t="shared" ca="1" si="27"/>
        <v>6.3721176058967127E-2</v>
      </c>
      <c r="F180" s="117" t="s">
        <v>322</v>
      </c>
    </row>
    <row r="181" spans="3:6" s="74" customFormat="1" x14ac:dyDescent="0.2">
      <c r="C181" s="74">
        <v>10</v>
      </c>
      <c r="D181" s="74">
        <v>8.1</v>
      </c>
      <c r="E181" s="114">
        <f t="shared" ca="1" si="27"/>
        <v>6.442557849666021E-2</v>
      </c>
      <c r="F181" s="117" t="s">
        <v>322</v>
      </c>
    </row>
    <row r="182" spans="3:6" s="74" customFormat="1" x14ac:dyDescent="0.2">
      <c r="C182" s="74">
        <v>10</v>
      </c>
      <c r="D182" s="74">
        <v>8.1999999999999993</v>
      </c>
      <c r="E182" s="114">
        <f t="shared" ca="1" si="27"/>
        <v>6.5131032515297879E-2</v>
      </c>
      <c r="F182" s="117" t="s">
        <v>322</v>
      </c>
    </row>
    <row r="183" spans="3:6" s="74" customFormat="1" x14ac:dyDescent="0.2">
      <c r="C183" s="74">
        <v>10</v>
      </c>
      <c r="D183" s="74">
        <v>8.3000000000000007</v>
      </c>
      <c r="E183" s="114">
        <f t="shared" ca="1" si="27"/>
        <v>6.5837546194116331E-2</v>
      </c>
      <c r="F183" s="117" t="s">
        <v>322</v>
      </c>
    </row>
    <row r="184" spans="3:6" s="74" customFormat="1" x14ac:dyDescent="0.2">
      <c r="C184" s="74">
        <v>10</v>
      </c>
      <c r="D184" s="74">
        <v>8.4</v>
      </c>
      <c r="E184" s="114">
        <f t="shared" ca="1" si="27"/>
        <v>6.654512761235179E-2</v>
      </c>
      <c r="F184" s="117" t="s">
        <v>322</v>
      </c>
    </row>
    <row r="185" spans="3:6" s="74" customFormat="1" x14ac:dyDescent="0.2">
      <c r="C185" s="74">
        <v>10</v>
      </c>
      <c r="D185" s="74">
        <v>8.5</v>
      </c>
      <c r="E185" s="114">
        <f t="shared" ca="1" si="27"/>
        <v>6.7253784849240453E-2</v>
      </c>
      <c r="F185" s="117" t="s">
        <v>322</v>
      </c>
    </row>
    <row r="186" spans="3:6" s="74" customFormat="1" x14ac:dyDescent="0.2">
      <c r="C186" s="74">
        <v>10</v>
      </c>
      <c r="D186" s="74">
        <v>8.6</v>
      </c>
      <c r="E186" s="114">
        <f t="shared" ca="1" si="27"/>
        <v>6.7963525984018558E-2</v>
      </c>
      <c r="F186" s="117" t="s">
        <v>322</v>
      </c>
    </row>
    <row r="187" spans="3:6" s="74" customFormat="1" x14ac:dyDescent="0.2">
      <c r="C187" s="74">
        <v>10</v>
      </c>
      <c r="D187" s="74">
        <v>8.6999999999999993</v>
      </c>
      <c r="E187" s="114">
        <f t="shared" ca="1" si="27"/>
        <v>6.8674359095922288E-2</v>
      </c>
      <c r="F187" s="117" t="s">
        <v>322</v>
      </c>
    </row>
    <row r="188" spans="3:6" s="74" customFormat="1" x14ac:dyDescent="0.2">
      <c r="C188" s="74">
        <v>10</v>
      </c>
      <c r="D188" s="74">
        <v>8.8000000000000007</v>
      </c>
      <c r="E188" s="114">
        <f t="shared" ca="1" si="27"/>
        <v>6.9386292264187924E-2</v>
      </c>
      <c r="F188" s="117" t="s">
        <v>322</v>
      </c>
    </row>
    <row r="189" spans="3:6" s="74" customFormat="1" x14ac:dyDescent="0.2">
      <c r="C189" s="74">
        <v>10</v>
      </c>
      <c r="D189" s="74">
        <v>8.9</v>
      </c>
      <c r="E189" s="114">
        <f t="shared" ca="1" si="27"/>
        <v>7.0099333568051606E-2</v>
      </c>
      <c r="F189" s="117" t="s">
        <v>322</v>
      </c>
    </row>
    <row r="190" spans="3:6" s="74" customFormat="1" x14ac:dyDescent="0.2">
      <c r="C190" s="74">
        <v>10</v>
      </c>
      <c r="D190" s="74">
        <v>9</v>
      </c>
      <c r="E190" s="114">
        <f t="shared" ca="1" si="27"/>
        <v>7.08134910867496E-2</v>
      </c>
      <c r="F190" s="117" t="s">
        <v>322</v>
      </c>
    </row>
    <row r="191" spans="3:6" s="74" customFormat="1" x14ac:dyDescent="0.2">
      <c r="C191" s="74">
        <v>10</v>
      </c>
      <c r="D191" s="74">
        <v>9.1</v>
      </c>
      <c r="E191" s="114">
        <f t="shared" ca="1" si="27"/>
        <v>7.1528772899518089E-2</v>
      </c>
      <c r="F191" s="117" t="s">
        <v>322</v>
      </c>
    </row>
    <row r="192" spans="3:6" s="74" customFormat="1" x14ac:dyDescent="0.2">
      <c r="C192" s="74">
        <v>10</v>
      </c>
      <c r="D192" s="74">
        <v>9.1999999999999993</v>
      </c>
      <c r="E192" s="114">
        <f t="shared" ca="1" si="27"/>
        <v>7.2245187085593313E-2</v>
      </c>
      <c r="F192" s="117" t="s">
        <v>322</v>
      </c>
    </row>
    <row r="193" spans="2:17" s="74" customFormat="1" x14ac:dyDescent="0.2">
      <c r="C193" s="74">
        <v>10</v>
      </c>
      <c r="D193" s="74">
        <v>9.3000000000000007</v>
      </c>
      <c r="E193" s="114">
        <f t="shared" ca="1" si="27"/>
        <v>7.296274172421148E-2</v>
      </c>
      <c r="F193" s="117" t="s">
        <v>322</v>
      </c>
    </row>
    <row r="194" spans="2:17" s="74" customFormat="1" x14ac:dyDescent="0.2">
      <c r="C194" s="74">
        <v>10</v>
      </c>
      <c r="D194" s="74">
        <v>9.4</v>
      </c>
      <c r="E194" s="114">
        <f t="shared" ca="1" si="27"/>
        <v>7.3681444894608802E-2</v>
      </c>
      <c r="F194" s="117" t="s">
        <v>322</v>
      </c>
    </row>
    <row r="195" spans="2:17" s="74" customFormat="1" x14ac:dyDescent="0.2">
      <c r="C195" s="74">
        <v>10</v>
      </c>
      <c r="D195" s="74">
        <v>9.5</v>
      </c>
      <c r="E195" s="114">
        <f t="shared" ca="1" si="27"/>
        <v>7.440130467602149E-2</v>
      </c>
      <c r="F195" s="117" t="s">
        <v>322</v>
      </c>
    </row>
    <row r="196" spans="2:17" s="74" customFormat="1" x14ac:dyDescent="0.2">
      <c r="C196" s="74">
        <v>10</v>
      </c>
      <c r="D196" s="74">
        <v>9.6</v>
      </c>
      <c r="E196" s="114">
        <f t="shared" ca="1" si="27"/>
        <v>7.5122329147685768E-2</v>
      </c>
      <c r="F196" s="117" t="s">
        <v>322</v>
      </c>
    </row>
    <row r="197" spans="2:17" s="74" customFormat="1" x14ac:dyDescent="0.2">
      <c r="C197" s="74">
        <v>10</v>
      </c>
      <c r="D197" s="74">
        <v>9.6999999999999993</v>
      </c>
      <c r="E197" s="114">
        <f t="shared" ca="1" si="27"/>
        <v>7.584452638883786E-2</v>
      </c>
      <c r="F197" s="117" t="s">
        <v>322</v>
      </c>
    </row>
    <row r="198" spans="2:17" s="74" customFormat="1" x14ac:dyDescent="0.2">
      <c r="C198" s="74">
        <v>10</v>
      </c>
      <c r="D198" s="74">
        <v>9.8000000000000007</v>
      </c>
      <c r="E198" s="114">
        <f t="shared" ca="1" si="27"/>
        <v>7.656790447871395E-2</v>
      </c>
      <c r="F198" s="117" t="s">
        <v>322</v>
      </c>
    </row>
    <row r="199" spans="2:17" s="74" customFormat="1" x14ac:dyDescent="0.2">
      <c r="C199" s="74">
        <v>10</v>
      </c>
      <c r="D199" s="74">
        <v>9.9</v>
      </c>
      <c r="E199" s="114">
        <f t="shared" ca="1" si="27"/>
        <v>7.7292471496550288E-2</v>
      </c>
      <c r="F199" s="117" t="s">
        <v>322</v>
      </c>
    </row>
    <row r="200" spans="2:17" s="74" customFormat="1" x14ac:dyDescent="0.2">
      <c r="B200" s="74">
        <v>10</v>
      </c>
      <c r="C200" s="74">
        <v>30</v>
      </c>
      <c r="D200" s="74">
        <v>10</v>
      </c>
      <c r="E200" s="114">
        <f t="shared" ca="1" si="27"/>
        <v>7.2977427273393639E-2</v>
      </c>
      <c r="F200" s="117">
        <v>6.7430707199999995E-2</v>
      </c>
      <c r="G200" s="117">
        <f ca="1">F200-E200</f>
        <v>-5.5467200733936434E-3</v>
      </c>
      <c r="H200" s="117">
        <f ca="1">INDIRECT("a_" &amp; i_1) * t^3 + INDIRECT("b_" &amp; i_1) * t^2 + INDIRECT("c_" &amp; i_1) * t^1 + INDIRECT("d_" &amp; i_1)</f>
        <v>7.8018235521583074E-2</v>
      </c>
      <c r="I200" s="117">
        <f ca="1">H200-E200</f>
        <v>5.0408082481894351E-3</v>
      </c>
      <c r="K200" s="119"/>
      <c r="Q200" s="119"/>
    </row>
    <row r="201" spans="2:17" s="74" customFormat="1" x14ac:dyDescent="0.2">
      <c r="C201" s="74">
        <v>30</v>
      </c>
      <c r="D201" s="74">
        <v>10.1</v>
      </c>
      <c r="E201" s="114">
        <f t="shared" ca="1" si="27"/>
        <v>7.3789944503083627E-2</v>
      </c>
      <c r="F201" s="117" t="s">
        <v>322</v>
      </c>
    </row>
    <row r="202" spans="2:17" s="74" customFormat="1" x14ac:dyDescent="0.2">
      <c r="C202" s="74">
        <v>30</v>
      </c>
      <c r="D202" s="74">
        <v>10.199999999999999</v>
      </c>
      <c r="E202" s="114">
        <f t="shared" ca="1" si="27"/>
        <v>7.4602217691051312E-2</v>
      </c>
      <c r="F202" s="117" t="s">
        <v>322</v>
      </c>
    </row>
    <row r="203" spans="2:17" s="74" customFormat="1" x14ac:dyDescent="0.2">
      <c r="C203" s="74">
        <v>30</v>
      </c>
      <c r="D203" s="74">
        <v>10.3</v>
      </c>
      <c r="E203" s="114">
        <f t="shared" ca="1" si="27"/>
        <v>7.5414132139774756E-2</v>
      </c>
      <c r="F203" s="117" t="s">
        <v>322</v>
      </c>
    </row>
    <row r="204" spans="2:17" s="74" customFormat="1" x14ac:dyDescent="0.2">
      <c r="C204" s="74">
        <v>30</v>
      </c>
      <c r="D204" s="74">
        <v>10.4</v>
      </c>
      <c r="E204" s="114">
        <f t="shared" ca="1" si="27"/>
        <v>7.6225573151732048E-2</v>
      </c>
      <c r="F204" s="117" t="s">
        <v>322</v>
      </c>
    </row>
    <row r="205" spans="2:17" s="74" customFormat="1" x14ac:dyDescent="0.2">
      <c r="C205" s="74">
        <v>30</v>
      </c>
      <c r="D205" s="74">
        <v>10.5</v>
      </c>
      <c r="E205" s="114">
        <f t="shared" ca="1" si="27"/>
        <v>7.7036426029401278E-2</v>
      </c>
      <c r="F205" s="117" t="s">
        <v>322</v>
      </c>
    </row>
    <row r="206" spans="2:17" s="74" customFormat="1" x14ac:dyDescent="0.2">
      <c r="C206" s="74">
        <v>30</v>
      </c>
      <c r="D206" s="74">
        <v>10.6</v>
      </c>
      <c r="E206" s="114">
        <f t="shared" ca="1" si="27"/>
        <v>7.7846576075260535E-2</v>
      </c>
      <c r="F206" s="117" t="s">
        <v>322</v>
      </c>
    </row>
    <row r="207" spans="2:17" s="74" customFormat="1" x14ac:dyDescent="0.2">
      <c r="C207" s="74">
        <v>30</v>
      </c>
      <c r="D207" s="74">
        <v>10.7</v>
      </c>
      <c r="E207" s="114">
        <f t="shared" ca="1" si="27"/>
        <v>7.8655908591787865E-2</v>
      </c>
      <c r="F207" s="117" t="s">
        <v>322</v>
      </c>
    </row>
    <row r="208" spans="2:17" s="74" customFormat="1" x14ac:dyDescent="0.2">
      <c r="C208" s="74">
        <v>30</v>
      </c>
      <c r="D208" s="74">
        <v>10.8</v>
      </c>
      <c r="E208" s="114">
        <f t="shared" ca="1" si="27"/>
        <v>7.9464308881461415E-2</v>
      </c>
      <c r="F208" s="117" t="s">
        <v>322</v>
      </c>
    </row>
    <row r="209" spans="3:6" s="74" customFormat="1" x14ac:dyDescent="0.2">
      <c r="C209" s="74">
        <v>30</v>
      </c>
      <c r="D209" s="74">
        <v>10.9</v>
      </c>
      <c r="E209" s="114">
        <f t="shared" ca="1" si="27"/>
        <v>8.0271662246759204E-2</v>
      </c>
      <c r="F209" s="117" t="s">
        <v>322</v>
      </c>
    </row>
    <row r="210" spans="3:6" s="74" customFormat="1" x14ac:dyDescent="0.2">
      <c r="C210" s="74">
        <v>30</v>
      </c>
      <c r="D210" s="74">
        <v>11</v>
      </c>
      <c r="E210" s="114">
        <f t="shared" ca="1" si="27"/>
        <v>8.1077853990159363E-2</v>
      </c>
      <c r="F210" s="117" t="s">
        <v>322</v>
      </c>
    </row>
    <row r="211" spans="3:6" s="74" customFormat="1" x14ac:dyDescent="0.2">
      <c r="C211" s="74">
        <v>30</v>
      </c>
      <c r="D211" s="74">
        <v>11.1</v>
      </c>
      <c r="E211" s="114">
        <f t="shared" ca="1" si="27"/>
        <v>8.1882769414139939E-2</v>
      </c>
      <c r="F211" s="117" t="s">
        <v>322</v>
      </c>
    </row>
    <row r="212" spans="3:6" s="74" customFormat="1" x14ac:dyDescent="0.2">
      <c r="C212" s="74">
        <v>30</v>
      </c>
      <c r="D212" s="74">
        <v>11.2</v>
      </c>
      <c r="E212" s="114">
        <f t="shared" ca="1" si="27"/>
        <v>8.2686293821179035E-2</v>
      </c>
      <c r="F212" s="117" t="s">
        <v>322</v>
      </c>
    </row>
    <row r="213" spans="3:6" s="74" customFormat="1" x14ac:dyDescent="0.2">
      <c r="C213" s="74">
        <v>30</v>
      </c>
      <c r="D213" s="74">
        <v>11.3</v>
      </c>
      <c r="E213" s="114">
        <f t="shared" ca="1" si="27"/>
        <v>8.3488312513754714E-2</v>
      </c>
      <c r="F213" s="117" t="s">
        <v>322</v>
      </c>
    </row>
    <row r="214" spans="3:6" s="74" customFormat="1" x14ac:dyDescent="0.2">
      <c r="C214" s="74">
        <v>30</v>
      </c>
      <c r="D214" s="74">
        <v>11.4</v>
      </c>
      <c r="E214" s="114">
        <f t="shared" ca="1" si="27"/>
        <v>8.4288710794345093E-2</v>
      </c>
      <c r="F214" s="117" t="s">
        <v>322</v>
      </c>
    </row>
    <row r="215" spans="3:6" s="74" customFormat="1" x14ac:dyDescent="0.2">
      <c r="C215" s="74">
        <v>30</v>
      </c>
      <c r="D215" s="74">
        <v>11.5</v>
      </c>
      <c r="E215" s="114">
        <f t="shared" ca="1" si="27"/>
        <v>8.5087373965428217E-2</v>
      </c>
      <c r="F215" s="117" t="s">
        <v>322</v>
      </c>
    </row>
    <row r="216" spans="3:6" s="74" customFormat="1" x14ac:dyDescent="0.2">
      <c r="C216" s="74">
        <v>30</v>
      </c>
      <c r="D216" s="74">
        <v>11.6</v>
      </c>
      <c r="E216" s="114">
        <f t="shared" ca="1" si="27"/>
        <v>8.5884187329482192E-2</v>
      </c>
      <c r="F216" s="117" t="s">
        <v>322</v>
      </c>
    </row>
    <row r="217" spans="3:6" s="74" customFormat="1" x14ac:dyDescent="0.2">
      <c r="C217" s="74">
        <v>30</v>
      </c>
      <c r="D217" s="74">
        <v>11.7</v>
      </c>
      <c r="E217" s="114">
        <f t="shared" ca="1" si="27"/>
        <v>8.6679036188985106E-2</v>
      </c>
      <c r="F217" s="117" t="s">
        <v>322</v>
      </c>
    </row>
    <row r="218" spans="3:6" s="74" customFormat="1" x14ac:dyDescent="0.2">
      <c r="C218" s="74">
        <v>30</v>
      </c>
      <c r="D218" s="74">
        <v>11.8</v>
      </c>
      <c r="E218" s="114">
        <f t="shared" ca="1" si="27"/>
        <v>8.7471805846415035E-2</v>
      </c>
      <c r="F218" s="117" t="s">
        <v>322</v>
      </c>
    </row>
    <row r="219" spans="3:6" s="74" customFormat="1" x14ac:dyDescent="0.2">
      <c r="C219" s="74">
        <v>30</v>
      </c>
      <c r="D219" s="74">
        <v>11.9</v>
      </c>
      <c r="E219" s="114">
        <f t="shared" ca="1" si="27"/>
        <v>8.826238160425004E-2</v>
      </c>
      <c r="F219" s="117" t="s">
        <v>322</v>
      </c>
    </row>
    <row r="220" spans="3:6" s="74" customFormat="1" x14ac:dyDescent="0.2">
      <c r="C220" s="74">
        <v>30</v>
      </c>
      <c r="D220" s="74">
        <v>12</v>
      </c>
      <c r="E220" s="114">
        <f t="shared" ca="1" si="27"/>
        <v>8.9050648764968238E-2</v>
      </c>
      <c r="F220" s="117" t="s">
        <v>322</v>
      </c>
    </row>
    <row r="221" spans="3:6" s="74" customFormat="1" x14ac:dyDescent="0.2">
      <c r="C221" s="74">
        <v>30</v>
      </c>
      <c r="D221" s="74">
        <v>12.1</v>
      </c>
      <c r="E221" s="114">
        <f t="shared" ca="1" si="27"/>
        <v>8.983649263104769E-2</v>
      </c>
      <c r="F221" s="117" t="s">
        <v>322</v>
      </c>
    </row>
    <row r="222" spans="3:6" s="74" customFormat="1" x14ac:dyDescent="0.2">
      <c r="C222" s="74">
        <v>30</v>
      </c>
      <c r="D222" s="74">
        <v>12.2</v>
      </c>
      <c r="E222" s="114">
        <f t="shared" ca="1" si="27"/>
        <v>9.0619798504966487E-2</v>
      </c>
      <c r="F222" s="117" t="s">
        <v>322</v>
      </c>
    </row>
    <row r="223" spans="3:6" s="74" customFormat="1" x14ac:dyDescent="0.2">
      <c r="C223" s="74">
        <v>30</v>
      </c>
      <c r="D223" s="74">
        <v>12.3</v>
      </c>
      <c r="E223" s="114">
        <f t="shared" ca="1" si="27"/>
        <v>9.1400451689202716E-2</v>
      </c>
      <c r="F223" s="117" t="s">
        <v>322</v>
      </c>
    </row>
    <row r="224" spans="3:6" s="74" customFormat="1" x14ac:dyDescent="0.2">
      <c r="C224" s="74">
        <v>30</v>
      </c>
      <c r="D224" s="74">
        <v>12.4</v>
      </c>
      <c r="E224" s="114">
        <f t="shared" ca="1" si="27"/>
        <v>9.2178337486234441E-2</v>
      </c>
      <c r="F224" s="117" t="s">
        <v>322</v>
      </c>
    </row>
    <row r="225" spans="3:6" s="74" customFormat="1" x14ac:dyDescent="0.2">
      <c r="C225" s="74">
        <v>30</v>
      </c>
      <c r="D225" s="74">
        <v>12.5</v>
      </c>
      <c r="E225" s="114">
        <f t="shared" ca="1" si="27"/>
        <v>9.2953341198539763E-2</v>
      </c>
      <c r="F225" s="117" t="s">
        <v>322</v>
      </c>
    </row>
    <row r="226" spans="3:6" s="74" customFormat="1" x14ac:dyDescent="0.2">
      <c r="C226" s="74">
        <v>30</v>
      </c>
      <c r="D226" s="74">
        <v>12.6</v>
      </c>
      <c r="E226" s="114">
        <f t="shared" ca="1" si="27"/>
        <v>9.3725348128596758E-2</v>
      </c>
      <c r="F226" s="117" t="s">
        <v>322</v>
      </c>
    </row>
    <row r="227" spans="3:6" s="74" customFormat="1" x14ac:dyDescent="0.2">
      <c r="C227" s="74">
        <v>30</v>
      </c>
      <c r="D227" s="74">
        <v>12.7</v>
      </c>
      <c r="E227" s="114">
        <f t="shared" ca="1" si="27"/>
        <v>9.4494243578883502E-2</v>
      </c>
      <c r="F227" s="117" t="s">
        <v>322</v>
      </c>
    </row>
    <row r="228" spans="3:6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9.5259912851878126E-2</v>
      </c>
      <c r="F228" s="117" t="s">
        <v>322</v>
      </c>
    </row>
    <row r="229" spans="3:6" s="74" customFormat="1" x14ac:dyDescent="0.2">
      <c r="C229" s="74">
        <v>30</v>
      </c>
      <c r="D229" s="74">
        <v>12.9</v>
      </c>
      <c r="E229" s="114">
        <f t="shared" ca="1" si="28"/>
        <v>9.6022241250058621E-2</v>
      </c>
      <c r="F229" s="117" t="s">
        <v>322</v>
      </c>
    </row>
    <row r="230" spans="3:6" s="74" customFormat="1" x14ac:dyDescent="0.2">
      <c r="C230" s="74">
        <v>30</v>
      </c>
      <c r="D230" s="74">
        <v>13</v>
      </c>
      <c r="E230" s="114">
        <f t="shared" ca="1" si="28"/>
        <v>9.6781114075903146E-2</v>
      </c>
      <c r="F230" s="117" t="s">
        <v>322</v>
      </c>
    </row>
    <row r="231" spans="3:6" s="74" customFormat="1" x14ac:dyDescent="0.2">
      <c r="C231" s="74">
        <v>30</v>
      </c>
      <c r="D231" s="74">
        <v>13.1</v>
      </c>
      <c r="E231" s="114">
        <f t="shared" ca="1" si="28"/>
        <v>9.753641663188975E-2</v>
      </c>
      <c r="F231" s="117" t="s">
        <v>322</v>
      </c>
    </row>
    <row r="232" spans="3:6" s="74" customFormat="1" x14ac:dyDescent="0.2">
      <c r="C232" s="74">
        <v>30</v>
      </c>
      <c r="D232" s="74">
        <v>13.2</v>
      </c>
      <c r="E232" s="114">
        <f t="shared" ca="1" si="28"/>
        <v>9.8288034220496534E-2</v>
      </c>
      <c r="F232" s="117" t="s">
        <v>322</v>
      </c>
    </row>
    <row r="233" spans="3:6" s="74" customFormat="1" x14ac:dyDescent="0.2">
      <c r="C233" s="74">
        <v>30</v>
      </c>
      <c r="D233" s="74">
        <v>13.3</v>
      </c>
      <c r="E233" s="114">
        <f t="shared" ca="1" si="28"/>
        <v>9.9035852144201575E-2</v>
      </c>
      <c r="F233" s="117" t="s">
        <v>322</v>
      </c>
    </row>
    <row r="234" spans="3:6" s="74" customFormat="1" x14ac:dyDescent="0.2">
      <c r="C234" s="74">
        <v>30</v>
      </c>
      <c r="D234" s="74">
        <v>13.4</v>
      </c>
      <c r="E234" s="114">
        <f t="shared" ca="1" si="28"/>
        <v>9.9779755705482948E-2</v>
      </c>
      <c r="F234" s="117" t="s">
        <v>322</v>
      </c>
    </row>
    <row r="235" spans="3:6" s="74" customFormat="1" x14ac:dyDescent="0.2">
      <c r="C235" s="74">
        <v>30</v>
      </c>
      <c r="D235" s="74">
        <v>13.5</v>
      </c>
      <c r="E235" s="114">
        <f t="shared" ca="1" si="28"/>
        <v>0.10051963020681876</v>
      </c>
      <c r="F235" s="117" t="s">
        <v>322</v>
      </c>
    </row>
    <row r="236" spans="3:6" s="74" customFormat="1" x14ac:dyDescent="0.2">
      <c r="C236" s="74">
        <v>30</v>
      </c>
      <c r="D236" s="74">
        <v>13.6</v>
      </c>
      <c r="E236" s="114">
        <f t="shared" ca="1" si="28"/>
        <v>0.10125536095068705</v>
      </c>
      <c r="F236" s="117" t="s">
        <v>322</v>
      </c>
    </row>
    <row r="237" spans="3:6" s="74" customFormat="1" x14ac:dyDescent="0.2">
      <c r="C237" s="74">
        <v>30</v>
      </c>
      <c r="D237" s="74">
        <v>13.7</v>
      </c>
      <c r="E237" s="114">
        <f t="shared" ca="1" si="28"/>
        <v>0.10198683323956592</v>
      </c>
      <c r="F237" s="117" t="s">
        <v>322</v>
      </c>
    </row>
    <row r="238" spans="3:6" s="74" customFormat="1" x14ac:dyDescent="0.2">
      <c r="C238" s="74">
        <v>30</v>
      </c>
      <c r="D238" s="74">
        <v>13.8</v>
      </c>
      <c r="E238" s="114">
        <f t="shared" ca="1" si="28"/>
        <v>0.1027139323759335</v>
      </c>
      <c r="F238" s="117" t="s">
        <v>322</v>
      </c>
    </row>
    <row r="239" spans="3:6" s="74" customFormat="1" x14ac:dyDescent="0.2">
      <c r="C239" s="74">
        <v>30</v>
      </c>
      <c r="D239" s="74">
        <v>13.9</v>
      </c>
      <c r="E239" s="114">
        <f t="shared" ca="1" si="28"/>
        <v>0.1034365436622678</v>
      </c>
      <c r="F239" s="117" t="s">
        <v>322</v>
      </c>
    </row>
    <row r="240" spans="3:6" s="74" customFormat="1" x14ac:dyDescent="0.2">
      <c r="C240" s="74">
        <v>30</v>
      </c>
      <c r="D240" s="74">
        <v>14</v>
      </c>
      <c r="E240" s="114">
        <f t="shared" ca="1" si="28"/>
        <v>0.10415455240104693</v>
      </c>
      <c r="F240" s="117" t="s">
        <v>322</v>
      </c>
    </row>
    <row r="241" spans="3:6" s="74" customFormat="1" x14ac:dyDescent="0.2">
      <c r="C241" s="74">
        <v>30</v>
      </c>
      <c r="D241" s="74">
        <v>14.1</v>
      </c>
      <c r="E241" s="114">
        <f t="shared" ca="1" si="28"/>
        <v>0.10486784389474899</v>
      </c>
      <c r="F241" s="117" t="s">
        <v>322</v>
      </c>
    </row>
    <row r="242" spans="3:6" s="74" customFormat="1" x14ac:dyDescent="0.2">
      <c r="C242" s="74">
        <v>30</v>
      </c>
      <c r="D242" s="74">
        <v>14.2</v>
      </c>
      <c r="E242" s="114">
        <f t="shared" ca="1" si="28"/>
        <v>0.10557630344585203</v>
      </c>
      <c r="F242" s="117" t="s">
        <v>322</v>
      </c>
    </row>
    <row r="243" spans="3:6" s="74" customFormat="1" x14ac:dyDescent="0.2">
      <c r="C243" s="74">
        <v>30</v>
      </c>
      <c r="D243" s="74">
        <v>14.3</v>
      </c>
      <c r="E243" s="114">
        <f t="shared" ca="1" si="28"/>
        <v>0.1062798163568342</v>
      </c>
      <c r="F243" s="117" t="s">
        <v>322</v>
      </c>
    </row>
    <row r="244" spans="3:6" s="74" customFormat="1" x14ac:dyDescent="0.2">
      <c r="C244" s="74">
        <v>30</v>
      </c>
      <c r="D244" s="74">
        <v>14.4</v>
      </c>
      <c r="E244" s="114">
        <f t="shared" ca="1" si="28"/>
        <v>0.1069782679301735</v>
      </c>
      <c r="F244" s="117" t="s">
        <v>322</v>
      </c>
    </row>
    <row r="245" spans="3:6" s="74" customFormat="1" x14ac:dyDescent="0.2">
      <c r="C245" s="74">
        <v>30</v>
      </c>
      <c r="D245" s="74">
        <v>14.5</v>
      </c>
      <c r="E245" s="114">
        <f t="shared" ca="1" si="28"/>
        <v>0.10767154346834806</v>
      </c>
      <c r="F245" s="117" t="s">
        <v>322</v>
      </c>
    </row>
    <row r="246" spans="3:6" s="74" customFormat="1" x14ac:dyDescent="0.2">
      <c r="C246" s="74">
        <v>30</v>
      </c>
      <c r="D246" s="74">
        <v>14.6</v>
      </c>
      <c r="E246" s="114">
        <f t="shared" ca="1" si="28"/>
        <v>0.10835952827383594</v>
      </c>
      <c r="F246" s="117" t="s">
        <v>322</v>
      </c>
    </row>
    <row r="247" spans="3:6" s="74" customFormat="1" x14ac:dyDescent="0.2">
      <c r="C247" s="74">
        <v>30</v>
      </c>
      <c r="D247" s="74">
        <v>14.7</v>
      </c>
      <c r="E247" s="114">
        <f t="shared" ca="1" si="28"/>
        <v>0.10904210764911523</v>
      </c>
      <c r="F247" s="117" t="s">
        <v>322</v>
      </c>
    </row>
    <row r="248" spans="3:6" s="74" customFormat="1" x14ac:dyDescent="0.2">
      <c r="C248" s="74">
        <v>30</v>
      </c>
      <c r="D248" s="74">
        <v>14.8</v>
      </c>
      <c r="E248" s="114">
        <f t="shared" ca="1" si="28"/>
        <v>0.10971916689666406</v>
      </c>
      <c r="F248" s="117" t="s">
        <v>322</v>
      </c>
    </row>
    <row r="249" spans="3:6" s="74" customFormat="1" x14ac:dyDescent="0.2">
      <c r="C249" s="74">
        <v>30</v>
      </c>
      <c r="D249" s="74">
        <v>14.9</v>
      </c>
      <c r="E249" s="114">
        <f t="shared" ca="1" si="28"/>
        <v>0.11039059131896042</v>
      </c>
      <c r="F249" s="117" t="s">
        <v>322</v>
      </c>
    </row>
    <row r="250" spans="3:6" s="74" customFormat="1" x14ac:dyDescent="0.2">
      <c r="C250" s="74">
        <v>30</v>
      </c>
      <c r="D250" s="74">
        <v>15</v>
      </c>
      <c r="E250" s="114">
        <f t="shared" ca="1" si="28"/>
        <v>0.11105626621848246</v>
      </c>
      <c r="F250" s="117" t="s">
        <v>322</v>
      </c>
    </row>
    <row r="251" spans="3:6" s="74" customFormat="1" x14ac:dyDescent="0.2">
      <c r="C251" s="74">
        <v>30</v>
      </c>
      <c r="D251" s="74">
        <v>15.1</v>
      </c>
      <c r="E251" s="114">
        <f t="shared" ca="1" si="28"/>
        <v>0.11171607689770825</v>
      </c>
      <c r="F251" s="117" t="s">
        <v>322</v>
      </c>
    </row>
    <row r="252" spans="3:6" s="74" customFormat="1" x14ac:dyDescent="0.2">
      <c r="C252" s="74">
        <v>30</v>
      </c>
      <c r="D252" s="74">
        <v>15.2</v>
      </c>
      <c r="E252" s="114">
        <f t="shared" ca="1" si="28"/>
        <v>0.11236990865911584</v>
      </c>
      <c r="F252" s="117" t="s">
        <v>322</v>
      </c>
    </row>
    <row r="253" spans="3:6" s="74" customFormat="1" x14ac:dyDescent="0.2">
      <c r="C253" s="74">
        <v>30</v>
      </c>
      <c r="D253" s="74">
        <v>15.3</v>
      </c>
      <c r="E253" s="114">
        <f t="shared" ca="1" si="28"/>
        <v>0.11301764680518339</v>
      </c>
      <c r="F253" s="117" t="s">
        <v>322</v>
      </c>
    </row>
    <row r="254" spans="3:6" s="74" customFormat="1" x14ac:dyDescent="0.2">
      <c r="C254" s="74">
        <v>30</v>
      </c>
      <c r="D254" s="74">
        <v>15.4</v>
      </c>
      <c r="E254" s="114">
        <f t="shared" ca="1" si="28"/>
        <v>0.11365917663838893</v>
      </c>
      <c r="F254" s="117" t="s">
        <v>322</v>
      </c>
    </row>
    <row r="255" spans="3:6" s="74" customFormat="1" x14ac:dyDescent="0.2">
      <c r="C255" s="74">
        <v>30</v>
      </c>
      <c r="D255" s="74">
        <v>15.5</v>
      </c>
      <c r="E255" s="114">
        <f t="shared" ca="1" si="28"/>
        <v>0.1142943834612105</v>
      </c>
      <c r="F255" s="117" t="s">
        <v>322</v>
      </c>
    </row>
    <row r="256" spans="3:6" s="74" customFormat="1" x14ac:dyDescent="0.2">
      <c r="C256" s="74">
        <v>30</v>
      </c>
      <c r="D256" s="74">
        <v>15.6</v>
      </c>
      <c r="E256" s="114">
        <f t="shared" ca="1" si="28"/>
        <v>0.11492315257612626</v>
      </c>
      <c r="F256" s="117" t="s">
        <v>322</v>
      </c>
    </row>
    <row r="257" spans="3:6" s="74" customFormat="1" x14ac:dyDescent="0.2">
      <c r="C257" s="74">
        <v>30</v>
      </c>
      <c r="D257" s="74">
        <v>15.7</v>
      </c>
      <c r="E257" s="114">
        <f t="shared" ca="1" si="28"/>
        <v>0.11554536928561428</v>
      </c>
      <c r="F257" s="117" t="s">
        <v>322</v>
      </c>
    </row>
    <row r="258" spans="3:6" s="74" customFormat="1" x14ac:dyDescent="0.2">
      <c r="C258" s="74">
        <v>30</v>
      </c>
      <c r="D258" s="74">
        <v>15.8</v>
      </c>
      <c r="E258" s="114">
        <f t="shared" ca="1" si="28"/>
        <v>0.1161609188921526</v>
      </c>
      <c r="F258" s="117" t="s">
        <v>322</v>
      </c>
    </row>
    <row r="259" spans="3:6" s="74" customFormat="1" x14ac:dyDescent="0.2">
      <c r="C259" s="74">
        <v>30</v>
      </c>
      <c r="D259" s="74">
        <v>15.9</v>
      </c>
      <c r="E259" s="114">
        <f t="shared" ca="1" si="28"/>
        <v>0.11676968669821933</v>
      </c>
      <c r="F259" s="117" t="s">
        <v>322</v>
      </c>
    </row>
    <row r="260" spans="3:6" s="74" customFormat="1" x14ac:dyDescent="0.2">
      <c r="C260" s="74">
        <v>30</v>
      </c>
      <c r="D260" s="74">
        <v>16</v>
      </c>
      <c r="E260" s="114">
        <f t="shared" ca="1" si="28"/>
        <v>0.11737155800629256</v>
      </c>
      <c r="F260" s="117" t="s">
        <v>322</v>
      </c>
    </row>
    <row r="261" spans="3:6" s="74" customFormat="1" x14ac:dyDescent="0.2">
      <c r="C261" s="74">
        <v>30</v>
      </c>
      <c r="D261" s="74">
        <v>16.100000000000001</v>
      </c>
      <c r="E261" s="114">
        <f t="shared" ca="1" si="28"/>
        <v>0.11796641811885036</v>
      </c>
      <c r="F261" s="117" t="s">
        <v>322</v>
      </c>
    </row>
    <row r="262" spans="3:6" s="74" customFormat="1" x14ac:dyDescent="0.2">
      <c r="C262" s="74">
        <v>30</v>
      </c>
      <c r="D262" s="74">
        <v>16.2</v>
      </c>
      <c r="E262" s="114">
        <f t="shared" ca="1" si="28"/>
        <v>0.11855415233837081</v>
      </c>
      <c r="F262" s="117" t="s">
        <v>322</v>
      </c>
    </row>
    <row r="263" spans="3:6" s="74" customFormat="1" x14ac:dyDescent="0.2">
      <c r="C263" s="74">
        <v>30</v>
      </c>
      <c r="D263" s="74">
        <v>16.3</v>
      </c>
      <c r="E263" s="114">
        <f t="shared" ca="1" si="28"/>
        <v>0.11913464596733202</v>
      </c>
      <c r="F263" s="117" t="s">
        <v>322</v>
      </c>
    </row>
    <row r="264" spans="3:6" s="74" customFormat="1" x14ac:dyDescent="0.2">
      <c r="C264" s="74">
        <v>30</v>
      </c>
      <c r="D264" s="74">
        <v>16.399999999999999</v>
      </c>
      <c r="E264" s="114">
        <f t="shared" ca="1" si="28"/>
        <v>0.11970778430821202</v>
      </c>
      <c r="F264" s="117" t="s">
        <v>322</v>
      </c>
    </row>
    <row r="265" spans="3:6" s="74" customFormat="1" x14ac:dyDescent="0.2">
      <c r="C265" s="74">
        <v>30</v>
      </c>
      <c r="D265" s="74">
        <v>16.5</v>
      </c>
      <c r="E265" s="114">
        <f t="shared" ca="1" si="28"/>
        <v>0.12027345266348898</v>
      </c>
      <c r="F265" s="117" t="s">
        <v>322</v>
      </c>
    </row>
    <row r="266" spans="3:6" s="74" customFormat="1" x14ac:dyDescent="0.2">
      <c r="C266" s="74">
        <v>30</v>
      </c>
      <c r="D266" s="74">
        <v>16.600000000000001</v>
      </c>
      <c r="E266" s="114">
        <f t="shared" ca="1" si="28"/>
        <v>0.12083153633564091</v>
      </c>
      <c r="F266" s="117" t="s">
        <v>322</v>
      </c>
    </row>
    <row r="267" spans="3:6" s="74" customFormat="1" x14ac:dyDescent="0.2">
      <c r="C267" s="74">
        <v>30</v>
      </c>
      <c r="D267" s="74">
        <v>16.7</v>
      </c>
      <c r="E267" s="114">
        <f t="shared" ca="1" si="28"/>
        <v>0.12138192062714587</v>
      </c>
      <c r="F267" s="117" t="s">
        <v>322</v>
      </c>
    </row>
    <row r="268" spans="3:6" s="74" customFormat="1" x14ac:dyDescent="0.2">
      <c r="C268" s="74">
        <v>30</v>
      </c>
      <c r="D268" s="74">
        <v>16.8</v>
      </c>
      <c r="E268" s="114">
        <f t="shared" ca="1" si="28"/>
        <v>0.12192449084048201</v>
      </c>
      <c r="F268" s="117" t="s">
        <v>322</v>
      </c>
    </row>
    <row r="269" spans="3:6" s="74" customFormat="1" x14ac:dyDescent="0.2">
      <c r="C269" s="74">
        <v>30</v>
      </c>
      <c r="D269" s="74">
        <v>16.899999999999999</v>
      </c>
      <c r="E269" s="114">
        <f t="shared" ca="1" si="28"/>
        <v>0.12245913227812737</v>
      </c>
      <c r="F269" s="117" t="s">
        <v>322</v>
      </c>
    </row>
    <row r="270" spans="3:6" s="74" customFormat="1" x14ac:dyDescent="0.2">
      <c r="C270" s="74">
        <v>30</v>
      </c>
      <c r="D270" s="74">
        <v>17</v>
      </c>
      <c r="E270" s="114">
        <f t="shared" ca="1" si="28"/>
        <v>0.1229857302425601</v>
      </c>
      <c r="F270" s="117" t="s">
        <v>322</v>
      </c>
    </row>
    <row r="271" spans="3:6" s="74" customFormat="1" x14ac:dyDescent="0.2">
      <c r="C271" s="74">
        <v>30</v>
      </c>
      <c r="D271" s="74">
        <v>17.100000000000001</v>
      </c>
      <c r="E271" s="114">
        <f t="shared" ca="1" si="28"/>
        <v>0.12350417003625819</v>
      </c>
      <c r="F271" s="117" t="s">
        <v>322</v>
      </c>
    </row>
    <row r="272" spans="3:6" s="74" customFormat="1" x14ac:dyDescent="0.2">
      <c r="C272" s="74">
        <v>30</v>
      </c>
      <c r="D272" s="74">
        <v>17.2</v>
      </c>
      <c r="E272" s="114">
        <f t="shared" ca="1" si="28"/>
        <v>0.12401433696169978</v>
      </c>
      <c r="F272" s="117" t="s">
        <v>322</v>
      </c>
    </row>
    <row r="273" spans="3:6" s="74" customFormat="1" x14ac:dyDescent="0.2">
      <c r="C273" s="74">
        <v>30</v>
      </c>
      <c r="D273" s="74">
        <v>17.3</v>
      </c>
      <c r="E273" s="114">
        <f t="shared" ca="1" si="28"/>
        <v>0.12451611632136295</v>
      </c>
      <c r="F273" s="117" t="s">
        <v>322</v>
      </c>
    </row>
    <row r="274" spans="3:6" s="74" customFormat="1" x14ac:dyDescent="0.2">
      <c r="C274" s="74">
        <v>30</v>
      </c>
      <c r="D274" s="74">
        <v>17.399999999999999</v>
      </c>
      <c r="E274" s="114">
        <f t="shared" ca="1" si="28"/>
        <v>0.12500939341772571</v>
      </c>
      <c r="F274" s="117" t="s">
        <v>322</v>
      </c>
    </row>
    <row r="275" spans="3:6" s="74" customFormat="1" x14ac:dyDescent="0.2">
      <c r="C275" s="74">
        <v>30</v>
      </c>
      <c r="D275" s="74">
        <v>17.5</v>
      </c>
      <c r="E275" s="114">
        <f t="shared" ca="1" si="28"/>
        <v>0.12549405355326629</v>
      </c>
      <c r="F275" s="117" t="s">
        <v>322</v>
      </c>
    </row>
    <row r="276" spans="3:6" s="74" customFormat="1" x14ac:dyDescent="0.2">
      <c r="C276" s="74">
        <v>30</v>
      </c>
      <c r="D276" s="74">
        <v>17.600000000000001</v>
      </c>
      <c r="E276" s="114">
        <f t="shared" ca="1" si="28"/>
        <v>0.12596998203046264</v>
      </c>
      <c r="F276" s="117" t="s">
        <v>322</v>
      </c>
    </row>
    <row r="277" spans="3:6" s="74" customFormat="1" x14ac:dyDescent="0.2">
      <c r="C277" s="74">
        <v>30</v>
      </c>
      <c r="D277" s="74">
        <v>17.7</v>
      </c>
      <c r="E277" s="114">
        <f t="shared" ca="1" si="28"/>
        <v>0.1264370641517929</v>
      </c>
      <c r="F277" s="117" t="s">
        <v>322</v>
      </c>
    </row>
    <row r="278" spans="3:6" s="74" customFormat="1" x14ac:dyDescent="0.2">
      <c r="C278" s="74">
        <v>30</v>
      </c>
      <c r="D278" s="74">
        <v>17.8</v>
      </c>
      <c r="E278" s="114">
        <f t="shared" ca="1" si="28"/>
        <v>0.12689518521973514</v>
      </c>
      <c r="F278" s="117" t="s">
        <v>322</v>
      </c>
    </row>
    <row r="279" spans="3:6" s="74" customFormat="1" x14ac:dyDescent="0.2">
      <c r="C279" s="74">
        <v>30</v>
      </c>
      <c r="D279" s="74">
        <v>17.899999999999999</v>
      </c>
      <c r="E279" s="114">
        <f t="shared" ca="1" si="28"/>
        <v>0.12734423053676747</v>
      </c>
      <c r="F279" s="117" t="s">
        <v>322</v>
      </c>
    </row>
    <row r="280" spans="3:6" s="74" customFormat="1" x14ac:dyDescent="0.2">
      <c r="C280" s="74">
        <v>30</v>
      </c>
      <c r="D280" s="74">
        <v>18</v>
      </c>
      <c r="E280" s="114">
        <f t="shared" ca="1" si="28"/>
        <v>0.12778408540536793</v>
      </c>
      <c r="F280" s="117" t="s">
        <v>322</v>
      </c>
    </row>
    <row r="281" spans="3:6" s="74" customFormat="1" x14ac:dyDescent="0.2">
      <c r="C281" s="74">
        <v>30</v>
      </c>
      <c r="D281" s="74">
        <v>18.100000000000001</v>
      </c>
      <c r="E281" s="114">
        <f t="shared" ca="1" si="28"/>
        <v>0.12821463512801462</v>
      </c>
      <c r="F281" s="117" t="s">
        <v>322</v>
      </c>
    </row>
    <row r="282" spans="3:6" s="74" customFormat="1" x14ac:dyDescent="0.2">
      <c r="C282" s="74">
        <v>30</v>
      </c>
      <c r="D282" s="74">
        <v>18.2</v>
      </c>
      <c r="E282" s="114">
        <f t="shared" ca="1" si="28"/>
        <v>0.1286357650071856</v>
      </c>
      <c r="F282" s="117" t="s">
        <v>322</v>
      </c>
    </row>
    <row r="283" spans="3:6" s="74" customFormat="1" x14ac:dyDescent="0.2">
      <c r="C283" s="74">
        <v>30</v>
      </c>
      <c r="D283" s="74">
        <v>18.3</v>
      </c>
      <c r="E283" s="114">
        <f t="shared" ca="1" si="28"/>
        <v>0.12904736034535902</v>
      </c>
      <c r="F283" s="117" t="s">
        <v>322</v>
      </c>
    </row>
    <row r="284" spans="3:6" s="74" customFormat="1" x14ac:dyDescent="0.2">
      <c r="C284" s="74">
        <v>30</v>
      </c>
      <c r="D284" s="74">
        <v>18.399999999999999</v>
      </c>
      <c r="E284" s="114">
        <f t="shared" ca="1" si="28"/>
        <v>0.12944930644501287</v>
      </c>
      <c r="F284" s="117" t="s">
        <v>322</v>
      </c>
    </row>
    <row r="285" spans="3:6" s="74" customFormat="1" x14ac:dyDescent="0.2">
      <c r="C285" s="74">
        <v>30</v>
      </c>
      <c r="D285" s="74">
        <v>18.5</v>
      </c>
      <c r="E285" s="114">
        <f t="shared" ca="1" si="28"/>
        <v>0.12984148860862532</v>
      </c>
      <c r="F285" s="117" t="s">
        <v>322</v>
      </c>
    </row>
    <row r="286" spans="3:6" s="74" customFormat="1" x14ac:dyDescent="0.2">
      <c r="C286" s="74">
        <v>30</v>
      </c>
      <c r="D286" s="74">
        <v>18.600000000000001</v>
      </c>
      <c r="E286" s="114">
        <f t="shared" ca="1" si="28"/>
        <v>0.13022379213867441</v>
      </c>
      <c r="F286" s="117" t="s">
        <v>322</v>
      </c>
    </row>
    <row r="287" spans="3:6" s="74" customFormat="1" x14ac:dyDescent="0.2">
      <c r="C287" s="74">
        <v>30</v>
      </c>
      <c r="D287" s="74">
        <v>18.7</v>
      </c>
      <c r="E287" s="114">
        <f t="shared" ca="1" si="28"/>
        <v>0.13059610233763824</v>
      </c>
      <c r="F287" s="117" t="s">
        <v>322</v>
      </c>
    </row>
    <row r="288" spans="3:6" s="74" customFormat="1" x14ac:dyDescent="0.2">
      <c r="C288" s="74">
        <v>30</v>
      </c>
      <c r="D288" s="74">
        <v>18.8</v>
      </c>
      <c r="E288" s="114">
        <f t="shared" ca="1" si="28"/>
        <v>0.13095830450799487</v>
      </c>
      <c r="F288" s="117" t="s">
        <v>322</v>
      </c>
    </row>
    <row r="289" spans="3:6" s="74" customFormat="1" x14ac:dyDescent="0.2">
      <c r="C289" s="74">
        <v>30</v>
      </c>
      <c r="D289" s="74">
        <v>18.899999999999999</v>
      </c>
      <c r="E289" s="114">
        <f t="shared" ca="1" si="28"/>
        <v>0.13131028395222236</v>
      </c>
      <c r="F289" s="117" t="s">
        <v>322</v>
      </c>
    </row>
    <row r="290" spans="3:6" s="74" customFormat="1" x14ac:dyDescent="0.2">
      <c r="C290" s="74">
        <v>30</v>
      </c>
      <c r="D290" s="74">
        <v>19</v>
      </c>
      <c r="E290" s="114">
        <f t="shared" ca="1" si="28"/>
        <v>0.13165192597279887</v>
      </c>
      <c r="F290" s="117" t="s">
        <v>322</v>
      </c>
    </row>
    <row r="291" spans="3:6" s="74" customFormat="1" x14ac:dyDescent="0.2">
      <c r="C291" s="74">
        <v>30</v>
      </c>
      <c r="D291" s="74">
        <v>19.100000000000001</v>
      </c>
      <c r="E291" s="114">
        <f t="shared" ca="1" si="28"/>
        <v>0.13198311587220243</v>
      </c>
      <c r="F291" s="117" t="s">
        <v>322</v>
      </c>
    </row>
    <row r="292" spans="3:6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0.13230373895291112</v>
      </c>
      <c r="F292" s="117" t="s">
        <v>322</v>
      </c>
    </row>
    <row r="293" spans="3:6" s="74" customFormat="1" x14ac:dyDescent="0.2">
      <c r="C293" s="74">
        <v>30</v>
      </c>
      <c r="D293" s="74">
        <v>19.3</v>
      </c>
      <c r="E293" s="114">
        <f t="shared" ca="1" si="29"/>
        <v>0.13261368051740305</v>
      </c>
      <c r="F293" s="117" t="s">
        <v>322</v>
      </c>
    </row>
    <row r="294" spans="3:6" s="74" customFormat="1" x14ac:dyDescent="0.2">
      <c r="C294" s="74">
        <v>30</v>
      </c>
      <c r="D294" s="74">
        <v>19.399999999999999</v>
      </c>
      <c r="E294" s="114">
        <f t="shared" ca="1" si="29"/>
        <v>0.13291282586815628</v>
      </c>
      <c r="F294" s="117" t="s">
        <v>322</v>
      </c>
    </row>
    <row r="295" spans="3:6" s="74" customFormat="1" x14ac:dyDescent="0.2">
      <c r="C295" s="74">
        <v>30</v>
      </c>
      <c r="D295" s="74">
        <v>19.5</v>
      </c>
      <c r="E295" s="114">
        <f t="shared" ca="1" si="29"/>
        <v>0.13320106030764892</v>
      </c>
      <c r="F295" s="117" t="s">
        <v>322</v>
      </c>
    </row>
    <row r="296" spans="3:6" s="74" customFormat="1" x14ac:dyDescent="0.2">
      <c r="C296" s="74">
        <v>30</v>
      </c>
      <c r="D296" s="74">
        <v>19.600000000000001</v>
      </c>
      <c r="E296" s="114">
        <f t="shared" ca="1" si="29"/>
        <v>0.13347826913835906</v>
      </c>
      <c r="F296" s="117" t="s">
        <v>322</v>
      </c>
    </row>
    <row r="297" spans="3:6" s="74" customFormat="1" x14ac:dyDescent="0.2">
      <c r="C297" s="74">
        <v>30</v>
      </c>
      <c r="D297" s="74">
        <v>19.7</v>
      </c>
      <c r="E297" s="114">
        <f t="shared" ca="1" si="29"/>
        <v>0.13374433766276467</v>
      </c>
      <c r="F297" s="117" t="s">
        <v>322</v>
      </c>
    </row>
    <row r="298" spans="3:6" s="74" customFormat="1" x14ac:dyDescent="0.2">
      <c r="C298" s="74">
        <v>30</v>
      </c>
      <c r="D298" s="74">
        <v>19.8</v>
      </c>
      <c r="E298" s="114">
        <f t="shared" ca="1" si="29"/>
        <v>0.13399915118334396</v>
      </c>
      <c r="F298" s="117" t="s">
        <v>322</v>
      </c>
    </row>
    <row r="299" spans="3:6" s="74" customFormat="1" x14ac:dyDescent="0.2">
      <c r="C299" s="74">
        <v>30</v>
      </c>
      <c r="D299" s="74">
        <v>19.899999999999999</v>
      </c>
      <c r="E299" s="114">
        <f t="shared" ca="1" si="29"/>
        <v>0.13424259500257499</v>
      </c>
      <c r="F299" s="117" t="s">
        <v>322</v>
      </c>
    </row>
    <row r="300" spans="3:6" s="74" customFormat="1" x14ac:dyDescent="0.2">
      <c r="C300" s="74">
        <v>30</v>
      </c>
      <c r="D300" s="74">
        <v>20</v>
      </c>
      <c r="E300" s="114">
        <f t="shared" ca="1" si="29"/>
        <v>0.13447455442293582</v>
      </c>
      <c r="F300" s="117" t="s">
        <v>322</v>
      </c>
    </row>
    <row r="301" spans="3:6" s="74" customFormat="1" x14ac:dyDescent="0.2">
      <c r="C301" s="74">
        <v>30</v>
      </c>
      <c r="D301" s="74">
        <v>20.100000000000001</v>
      </c>
      <c r="E301" s="114">
        <f t="shared" ca="1" si="29"/>
        <v>0.13469491474690454</v>
      </c>
      <c r="F301" s="117" t="s">
        <v>322</v>
      </c>
    </row>
    <row r="302" spans="3:6" s="74" customFormat="1" x14ac:dyDescent="0.2">
      <c r="C302" s="74">
        <v>30</v>
      </c>
      <c r="D302" s="74">
        <v>20.2</v>
      </c>
      <c r="E302" s="114">
        <f t="shared" ca="1" si="29"/>
        <v>0.13490356127695921</v>
      </c>
      <c r="F302" s="117" t="s">
        <v>322</v>
      </c>
    </row>
    <row r="303" spans="3:6" s="74" customFormat="1" x14ac:dyDescent="0.2">
      <c r="C303" s="74">
        <v>30</v>
      </c>
      <c r="D303" s="74">
        <v>20.3</v>
      </c>
      <c r="E303" s="114">
        <f t="shared" ca="1" si="29"/>
        <v>0.13510037931557795</v>
      </c>
      <c r="F303" s="117" t="s">
        <v>322</v>
      </c>
    </row>
    <row r="304" spans="3:6" s="74" customFormat="1" x14ac:dyDescent="0.2">
      <c r="C304" s="74">
        <v>30</v>
      </c>
      <c r="D304" s="74">
        <v>20.399999999999999</v>
      </c>
      <c r="E304" s="114">
        <f t="shared" ca="1" si="29"/>
        <v>0.13528525416523884</v>
      </c>
      <c r="F304" s="117" t="s">
        <v>322</v>
      </c>
    </row>
    <row r="305" spans="3:6" s="74" customFormat="1" x14ac:dyDescent="0.2">
      <c r="C305" s="74">
        <v>30</v>
      </c>
      <c r="D305" s="74">
        <v>20.5</v>
      </c>
      <c r="E305" s="114">
        <f t="shared" ca="1" si="29"/>
        <v>0.13545807112841995</v>
      </c>
      <c r="F305" s="117" t="s">
        <v>322</v>
      </c>
    </row>
    <row r="306" spans="3:6" s="74" customFormat="1" x14ac:dyDescent="0.2">
      <c r="C306" s="74">
        <v>30</v>
      </c>
      <c r="D306" s="74">
        <v>20.6</v>
      </c>
      <c r="E306" s="114">
        <f t="shared" ca="1" si="29"/>
        <v>0.13561871550759932</v>
      </c>
      <c r="F306" s="117" t="s">
        <v>322</v>
      </c>
    </row>
    <row r="307" spans="3:6" s="74" customFormat="1" x14ac:dyDescent="0.2">
      <c r="C307" s="74">
        <v>30</v>
      </c>
      <c r="D307" s="74">
        <v>20.7</v>
      </c>
      <c r="E307" s="114">
        <f t="shared" ca="1" si="29"/>
        <v>0.13576707260525511</v>
      </c>
      <c r="F307" s="117" t="s">
        <v>322</v>
      </c>
    </row>
    <row r="308" spans="3:6" s="74" customFormat="1" x14ac:dyDescent="0.2">
      <c r="C308" s="74">
        <v>30</v>
      </c>
      <c r="D308" s="74">
        <v>20.8</v>
      </c>
      <c r="E308" s="114">
        <f t="shared" ca="1" si="29"/>
        <v>0.13590302772386537</v>
      </c>
      <c r="F308" s="117" t="s">
        <v>322</v>
      </c>
    </row>
    <row r="309" spans="3:6" s="74" customFormat="1" x14ac:dyDescent="0.2">
      <c r="C309" s="74">
        <v>30</v>
      </c>
      <c r="D309" s="74">
        <v>20.9</v>
      </c>
      <c r="E309" s="114">
        <f t="shared" ca="1" si="29"/>
        <v>0.13602646616590822</v>
      </c>
      <c r="F309" s="117" t="s">
        <v>322</v>
      </c>
    </row>
    <row r="310" spans="3:6" s="74" customFormat="1" x14ac:dyDescent="0.2">
      <c r="C310" s="74">
        <v>30</v>
      </c>
      <c r="D310" s="74">
        <v>21</v>
      </c>
      <c r="E310" s="114">
        <f t="shared" ca="1" si="29"/>
        <v>0.13613727323386163</v>
      </c>
      <c r="F310" s="117" t="s">
        <v>322</v>
      </c>
    </row>
    <row r="311" spans="3:6" s="74" customFormat="1" x14ac:dyDescent="0.2">
      <c r="C311" s="74">
        <v>30</v>
      </c>
      <c r="D311" s="74">
        <v>21.1</v>
      </c>
      <c r="E311" s="114">
        <f t="shared" ca="1" si="29"/>
        <v>0.13623533423020381</v>
      </c>
      <c r="F311" s="117" t="s">
        <v>322</v>
      </c>
    </row>
    <row r="312" spans="3:6" s="74" customFormat="1" x14ac:dyDescent="0.2">
      <c r="C312" s="74">
        <v>30</v>
      </c>
      <c r="D312" s="74">
        <v>21.2</v>
      </c>
      <c r="E312" s="114">
        <f t="shared" ca="1" si="29"/>
        <v>0.13632053445741274</v>
      </c>
      <c r="F312" s="117" t="s">
        <v>322</v>
      </c>
    </row>
    <row r="313" spans="3:6" s="74" customFormat="1" x14ac:dyDescent="0.2">
      <c r="C313" s="74">
        <v>30</v>
      </c>
      <c r="D313" s="74">
        <v>21.3</v>
      </c>
      <c r="E313" s="114">
        <f t="shared" ca="1" si="29"/>
        <v>0.13639275921796654</v>
      </c>
      <c r="F313" s="117" t="s">
        <v>322</v>
      </c>
    </row>
    <row r="314" spans="3:6" s="74" customFormat="1" x14ac:dyDescent="0.2">
      <c r="C314" s="74">
        <v>30</v>
      </c>
      <c r="D314" s="74">
        <v>21.4</v>
      </c>
      <c r="E314" s="114">
        <f t="shared" ca="1" si="29"/>
        <v>0.13645189381434336</v>
      </c>
      <c r="F314" s="117" t="s">
        <v>322</v>
      </c>
    </row>
    <row r="315" spans="3:6" s="74" customFormat="1" x14ac:dyDescent="0.2">
      <c r="C315" s="74">
        <v>30</v>
      </c>
      <c r="D315" s="74">
        <v>21.5</v>
      </c>
      <c r="E315" s="114">
        <f t="shared" ca="1" si="29"/>
        <v>0.13649782354902121</v>
      </c>
      <c r="F315" s="117" t="s">
        <v>322</v>
      </c>
    </row>
    <row r="316" spans="3:6" s="74" customFormat="1" x14ac:dyDescent="0.2">
      <c r="C316" s="74">
        <v>30</v>
      </c>
      <c r="D316" s="74">
        <v>21.6</v>
      </c>
      <c r="E316" s="114">
        <f t="shared" ca="1" si="29"/>
        <v>0.13653043372447821</v>
      </c>
      <c r="F316" s="117" t="s">
        <v>322</v>
      </c>
    </row>
    <row r="317" spans="3:6" s="74" customFormat="1" x14ac:dyDescent="0.2">
      <c r="C317" s="74">
        <v>30</v>
      </c>
      <c r="D317" s="74">
        <v>21.7</v>
      </c>
      <c r="E317" s="114">
        <f t="shared" ca="1" si="29"/>
        <v>0.13654960964319238</v>
      </c>
      <c r="F317" s="117" t="s">
        <v>322</v>
      </c>
    </row>
    <row r="318" spans="3:6" s="74" customFormat="1" x14ac:dyDescent="0.2">
      <c r="C318" s="74">
        <v>30</v>
      </c>
      <c r="D318" s="74">
        <v>21.8</v>
      </c>
      <c r="E318" s="114">
        <f t="shared" ca="1" si="29"/>
        <v>0.13655523660764188</v>
      </c>
      <c r="F318" s="117" t="s">
        <v>322</v>
      </c>
    </row>
    <row r="319" spans="3:6" s="74" customFormat="1" x14ac:dyDescent="0.2">
      <c r="C319" s="74">
        <v>30</v>
      </c>
      <c r="D319" s="74">
        <v>21.9</v>
      </c>
      <c r="E319" s="114">
        <f t="shared" ca="1" si="29"/>
        <v>0.13654719992030476</v>
      </c>
      <c r="F319" s="117" t="s">
        <v>322</v>
      </c>
    </row>
    <row r="320" spans="3:6" s="74" customFormat="1" x14ac:dyDescent="0.2">
      <c r="C320" s="74">
        <v>30</v>
      </c>
      <c r="D320" s="74">
        <v>22</v>
      </c>
      <c r="E320" s="114">
        <f t="shared" ca="1" si="29"/>
        <v>0.13652538488365912</v>
      </c>
      <c r="F320" s="117" t="s">
        <v>322</v>
      </c>
    </row>
    <row r="321" spans="3:6" s="74" customFormat="1" x14ac:dyDescent="0.2">
      <c r="C321" s="74">
        <v>30</v>
      </c>
      <c r="D321" s="74">
        <v>22.1</v>
      </c>
      <c r="E321" s="114">
        <f t="shared" ca="1" si="29"/>
        <v>0.13648967680018298</v>
      </c>
      <c r="F321" s="117" t="s">
        <v>322</v>
      </c>
    </row>
    <row r="322" spans="3:6" s="74" customFormat="1" x14ac:dyDescent="0.2">
      <c r="C322" s="74">
        <v>30</v>
      </c>
      <c r="D322" s="74">
        <v>22.2</v>
      </c>
      <c r="E322" s="114">
        <f t="shared" ca="1" si="29"/>
        <v>0.13643996097235453</v>
      </c>
      <c r="F322" s="117" t="s">
        <v>322</v>
      </c>
    </row>
    <row r="323" spans="3:6" s="74" customFormat="1" x14ac:dyDescent="0.2">
      <c r="C323" s="74">
        <v>30</v>
      </c>
      <c r="D323" s="74">
        <v>22.3</v>
      </c>
      <c r="E323" s="114">
        <f t="shared" ca="1" si="29"/>
        <v>0.13637612270265173</v>
      </c>
      <c r="F323" s="117" t="s">
        <v>322</v>
      </c>
    </row>
    <row r="324" spans="3:6" s="74" customFormat="1" x14ac:dyDescent="0.2">
      <c r="C324" s="74">
        <v>30</v>
      </c>
      <c r="D324" s="74">
        <v>22.4</v>
      </c>
      <c r="E324" s="114">
        <f t="shared" ca="1" si="29"/>
        <v>0.13629804729355274</v>
      </c>
      <c r="F324" s="117" t="s">
        <v>322</v>
      </c>
    </row>
    <row r="325" spans="3:6" s="74" customFormat="1" x14ac:dyDescent="0.2">
      <c r="C325" s="74">
        <v>30</v>
      </c>
      <c r="D325" s="74">
        <v>22.5</v>
      </c>
      <c r="E325" s="114">
        <f t="shared" ca="1" si="29"/>
        <v>0.13620562004753564</v>
      </c>
      <c r="F325" s="117" t="s">
        <v>322</v>
      </c>
    </row>
    <row r="326" spans="3:6" s="74" customFormat="1" x14ac:dyDescent="0.2">
      <c r="C326" s="74">
        <v>30</v>
      </c>
      <c r="D326" s="74">
        <v>22.6</v>
      </c>
      <c r="E326" s="114">
        <f t="shared" ca="1" si="29"/>
        <v>0.1360987262670785</v>
      </c>
      <c r="F326" s="117" t="s">
        <v>322</v>
      </c>
    </row>
    <row r="327" spans="3:6" s="74" customFormat="1" x14ac:dyDescent="0.2">
      <c r="C327" s="74">
        <v>30</v>
      </c>
      <c r="D327" s="74">
        <v>22.7</v>
      </c>
      <c r="E327" s="114">
        <f t="shared" ca="1" si="29"/>
        <v>0.13597725125465934</v>
      </c>
      <c r="F327" s="117" t="s">
        <v>322</v>
      </c>
    </row>
    <row r="328" spans="3:6" s="74" customFormat="1" x14ac:dyDescent="0.2">
      <c r="C328" s="74">
        <v>30</v>
      </c>
      <c r="D328" s="74">
        <v>22.8</v>
      </c>
      <c r="E328" s="114">
        <f t="shared" ca="1" si="29"/>
        <v>0.13584108031275638</v>
      </c>
      <c r="F328" s="117" t="s">
        <v>322</v>
      </c>
    </row>
    <row r="329" spans="3:6" s="74" customFormat="1" x14ac:dyDescent="0.2">
      <c r="C329" s="74">
        <v>30</v>
      </c>
      <c r="D329" s="74">
        <v>22.9</v>
      </c>
      <c r="E329" s="114">
        <f t="shared" ca="1" si="29"/>
        <v>0.13569009874384766</v>
      </c>
      <c r="F329" s="117" t="s">
        <v>322</v>
      </c>
    </row>
    <row r="330" spans="3:6" s="74" customFormat="1" x14ac:dyDescent="0.2">
      <c r="C330" s="74">
        <v>30</v>
      </c>
      <c r="D330" s="74">
        <v>23</v>
      </c>
      <c r="E330" s="114">
        <f t="shared" ca="1" si="29"/>
        <v>0.13552419185041112</v>
      </c>
      <c r="F330" s="117" t="s">
        <v>322</v>
      </c>
    </row>
    <row r="331" spans="3:6" s="74" customFormat="1" x14ac:dyDescent="0.2">
      <c r="C331" s="74">
        <v>30</v>
      </c>
      <c r="D331" s="74">
        <v>23.1</v>
      </c>
      <c r="E331" s="114">
        <f t="shared" ca="1" si="29"/>
        <v>0.13534324493492503</v>
      </c>
      <c r="F331" s="117" t="s">
        <v>322</v>
      </c>
    </row>
    <row r="332" spans="3:6" s="74" customFormat="1" x14ac:dyDescent="0.2">
      <c r="C332" s="74">
        <v>30</v>
      </c>
      <c r="D332" s="74">
        <v>23.2</v>
      </c>
      <c r="E332" s="114">
        <f t="shared" ca="1" si="29"/>
        <v>0.13514714329986738</v>
      </c>
      <c r="F332" s="117" t="s">
        <v>322</v>
      </c>
    </row>
    <row r="333" spans="3:6" s="74" customFormat="1" x14ac:dyDescent="0.2">
      <c r="C333" s="74">
        <v>30</v>
      </c>
      <c r="D333" s="74">
        <v>23.3</v>
      </c>
      <c r="E333" s="114">
        <f t="shared" ca="1" si="29"/>
        <v>0.13493577224771625</v>
      </c>
      <c r="F333" s="117" t="s">
        <v>322</v>
      </c>
    </row>
    <row r="334" spans="3:6" s="74" customFormat="1" x14ac:dyDescent="0.2">
      <c r="C334" s="74">
        <v>30</v>
      </c>
      <c r="D334" s="74">
        <v>23.4</v>
      </c>
      <c r="E334" s="114">
        <f t="shared" ca="1" si="29"/>
        <v>0.13470901708094976</v>
      </c>
      <c r="F334" s="117" t="s">
        <v>322</v>
      </c>
    </row>
    <row r="335" spans="3:6" s="74" customFormat="1" x14ac:dyDescent="0.2">
      <c r="C335" s="74">
        <v>30</v>
      </c>
      <c r="D335" s="74">
        <v>23.5</v>
      </c>
      <c r="E335" s="114">
        <f t="shared" ca="1" si="29"/>
        <v>0.13446676310204603</v>
      </c>
      <c r="F335" s="117" t="s">
        <v>322</v>
      </c>
    </row>
    <row r="336" spans="3:6" s="74" customFormat="1" x14ac:dyDescent="0.2">
      <c r="C336" s="74">
        <v>30</v>
      </c>
      <c r="D336" s="74">
        <v>23.6</v>
      </c>
      <c r="E336" s="114">
        <f t="shared" ca="1" si="29"/>
        <v>0.13420889561348304</v>
      </c>
      <c r="F336" s="117" t="s">
        <v>322</v>
      </c>
    </row>
    <row r="337" spans="3:6" s="74" customFormat="1" x14ac:dyDescent="0.2">
      <c r="C337" s="74">
        <v>30</v>
      </c>
      <c r="D337" s="74">
        <v>23.7</v>
      </c>
      <c r="E337" s="114">
        <f t="shared" ca="1" si="29"/>
        <v>0.13393529991773884</v>
      </c>
      <c r="F337" s="117" t="s">
        <v>322</v>
      </c>
    </row>
    <row r="338" spans="3:6" s="74" customFormat="1" x14ac:dyDescent="0.2">
      <c r="C338" s="74">
        <v>30</v>
      </c>
      <c r="D338" s="74">
        <v>23.8</v>
      </c>
      <c r="E338" s="114">
        <f t="shared" ca="1" si="29"/>
        <v>0.1336458613172917</v>
      </c>
      <c r="F338" s="117" t="s">
        <v>322</v>
      </c>
    </row>
    <row r="339" spans="3:6" s="74" customFormat="1" x14ac:dyDescent="0.2">
      <c r="C339" s="74">
        <v>30</v>
      </c>
      <c r="D339" s="74">
        <v>23.9</v>
      </c>
      <c r="E339" s="114">
        <f t="shared" ca="1" si="29"/>
        <v>0.13334046511461956</v>
      </c>
      <c r="F339" s="117" t="s">
        <v>322</v>
      </c>
    </row>
    <row r="340" spans="3:6" s="74" customFormat="1" x14ac:dyDescent="0.2">
      <c r="C340" s="74">
        <v>30</v>
      </c>
      <c r="D340" s="74">
        <v>24</v>
      </c>
      <c r="E340" s="114">
        <f t="shared" ca="1" si="29"/>
        <v>0.13301899661220054</v>
      </c>
      <c r="F340" s="117" t="s">
        <v>322</v>
      </c>
    </row>
    <row r="341" spans="3:6" s="74" customFormat="1" x14ac:dyDescent="0.2">
      <c r="C341" s="74">
        <v>30</v>
      </c>
      <c r="D341" s="74">
        <v>24.1</v>
      </c>
      <c r="E341" s="114">
        <f t="shared" ca="1" si="29"/>
        <v>0.13268134111251273</v>
      </c>
      <c r="F341" s="117" t="s">
        <v>322</v>
      </c>
    </row>
    <row r="342" spans="3:6" s="74" customFormat="1" x14ac:dyDescent="0.2">
      <c r="C342" s="74">
        <v>30</v>
      </c>
      <c r="D342" s="74">
        <v>24.2</v>
      </c>
      <c r="E342" s="114">
        <f t="shared" ca="1" si="29"/>
        <v>0.1323273839180342</v>
      </c>
      <c r="F342" s="117" t="s">
        <v>322</v>
      </c>
    </row>
    <row r="343" spans="3:6" s="74" customFormat="1" x14ac:dyDescent="0.2">
      <c r="C343" s="74">
        <v>30</v>
      </c>
      <c r="D343" s="74">
        <v>24.3</v>
      </c>
      <c r="E343" s="114">
        <f t="shared" ca="1" si="29"/>
        <v>0.13195701033124307</v>
      </c>
      <c r="F343" s="117" t="s">
        <v>322</v>
      </c>
    </row>
    <row r="344" spans="3:6" s="74" customFormat="1" x14ac:dyDescent="0.2">
      <c r="C344" s="74">
        <v>30</v>
      </c>
      <c r="D344" s="74">
        <v>24.4</v>
      </c>
      <c r="E344" s="114">
        <f t="shared" ca="1" si="29"/>
        <v>0.13157010565461738</v>
      </c>
      <c r="F344" s="117" t="s">
        <v>322</v>
      </c>
    </row>
    <row r="345" spans="3:6" s="74" customFormat="1" x14ac:dyDescent="0.2">
      <c r="C345" s="74">
        <v>30</v>
      </c>
      <c r="D345" s="74">
        <v>24.5</v>
      </c>
      <c r="E345" s="114">
        <f t="shared" ca="1" si="29"/>
        <v>0.13116655519063519</v>
      </c>
      <c r="F345" s="117" t="s">
        <v>322</v>
      </c>
    </row>
    <row r="346" spans="3:6" s="74" customFormat="1" x14ac:dyDescent="0.2">
      <c r="C346" s="74">
        <v>30</v>
      </c>
      <c r="D346" s="74">
        <v>24.6</v>
      </c>
      <c r="E346" s="114">
        <f t="shared" ca="1" si="29"/>
        <v>0.13074624424177464</v>
      </c>
      <c r="F346" s="117" t="s">
        <v>322</v>
      </c>
    </row>
    <row r="347" spans="3:6" s="74" customFormat="1" x14ac:dyDescent="0.2">
      <c r="C347" s="74">
        <v>30</v>
      </c>
      <c r="D347" s="74">
        <v>24.7</v>
      </c>
      <c r="E347" s="114">
        <f t="shared" ca="1" si="29"/>
        <v>0.1303090581105138</v>
      </c>
      <c r="F347" s="117" t="s">
        <v>322</v>
      </c>
    </row>
    <row r="348" spans="3:6" s="74" customFormat="1" x14ac:dyDescent="0.2">
      <c r="C348" s="74">
        <v>30</v>
      </c>
      <c r="D348" s="74">
        <v>24.8</v>
      </c>
      <c r="E348" s="114">
        <f t="shared" ca="1" si="29"/>
        <v>0.12985488209933069</v>
      </c>
      <c r="F348" s="117" t="s">
        <v>322</v>
      </c>
    </row>
    <row r="349" spans="3:6" s="74" customFormat="1" x14ac:dyDescent="0.2">
      <c r="C349" s="74">
        <v>30</v>
      </c>
      <c r="D349" s="74">
        <v>24.9</v>
      </c>
      <c r="E349" s="114">
        <f t="shared" ca="1" si="29"/>
        <v>0.12938360151070347</v>
      </c>
      <c r="F349" s="117" t="s">
        <v>322</v>
      </c>
    </row>
    <row r="350" spans="3:6" s="74" customFormat="1" x14ac:dyDescent="0.2">
      <c r="C350" s="74">
        <v>30</v>
      </c>
      <c r="D350" s="74">
        <v>25</v>
      </c>
      <c r="E350" s="114">
        <f t="shared" ca="1" si="29"/>
        <v>0.12889510164711021</v>
      </c>
      <c r="F350" s="117" t="s">
        <v>322</v>
      </c>
    </row>
    <row r="351" spans="3:6" s="74" customFormat="1" x14ac:dyDescent="0.2">
      <c r="C351" s="74">
        <v>30</v>
      </c>
      <c r="D351" s="74">
        <v>25.1</v>
      </c>
      <c r="E351" s="114">
        <f t="shared" ca="1" si="29"/>
        <v>0.12838926781102897</v>
      </c>
      <c r="F351" s="117" t="s">
        <v>322</v>
      </c>
    </row>
    <row r="352" spans="3:6" s="74" customFormat="1" x14ac:dyDescent="0.2">
      <c r="C352" s="74">
        <v>30</v>
      </c>
      <c r="D352" s="74">
        <v>25.2</v>
      </c>
      <c r="E352" s="114">
        <f t="shared" ca="1" si="29"/>
        <v>0.12786598530493787</v>
      </c>
      <c r="F352" s="117" t="s">
        <v>322</v>
      </c>
    </row>
    <row r="353" spans="3:6" s="74" customFormat="1" x14ac:dyDescent="0.2">
      <c r="C353" s="74">
        <v>30</v>
      </c>
      <c r="D353" s="74">
        <v>25.3</v>
      </c>
      <c r="E353" s="114">
        <f t="shared" ca="1" si="29"/>
        <v>0.12732513943131493</v>
      </c>
      <c r="F353" s="117" t="s">
        <v>322</v>
      </c>
    </row>
    <row r="354" spans="3:6" s="74" customFormat="1" x14ac:dyDescent="0.2">
      <c r="C354" s="74">
        <v>30</v>
      </c>
      <c r="D354" s="74">
        <v>25.4</v>
      </c>
      <c r="E354" s="114">
        <f t="shared" ca="1" si="29"/>
        <v>0.12676661549263835</v>
      </c>
      <c r="F354" s="117" t="s">
        <v>322</v>
      </c>
    </row>
    <row r="355" spans="3:6" s="74" customFormat="1" x14ac:dyDescent="0.2">
      <c r="C355" s="74">
        <v>30</v>
      </c>
      <c r="D355" s="74">
        <v>25.5</v>
      </c>
      <c r="E355" s="114">
        <f t="shared" ca="1" si="29"/>
        <v>0.12619029879138602</v>
      </c>
      <c r="F355" s="117" t="s">
        <v>322</v>
      </c>
    </row>
    <row r="356" spans="3:6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0.12559607463003625</v>
      </c>
      <c r="F356" s="117" t="s">
        <v>322</v>
      </c>
    </row>
    <row r="357" spans="3:6" s="74" customFormat="1" x14ac:dyDescent="0.2">
      <c r="C357" s="74">
        <v>30</v>
      </c>
      <c r="D357" s="74">
        <v>25.7</v>
      </c>
      <c r="E357" s="114">
        <f t="shared" ca="1" si="30"/>
        <v>0.12498382831106689</v>
      </c>
      <c r="F357" s="117" t="s">
        <v>322</v>
      </c>
    </row>
    <row r="358" spans="3:6" s="74" customFormat="1" x14ac:dyDescent="0.2">
      <c r="C358" s="74">
        <v>30</v>
      </c>
      <c r="D358" s="74">
        <v>25.8</v>
      </c>
      <c r="E358" s="114">
        <f t="shared" ca="1" si="30"/>
        <v>0.12435344513695623</v>
      </c>
      <c r="F358" s="117" t="s">
        <v>322</v>
      </c>
    </row>
    <row r="359" spans="3:6" s="74" customFormat="1" x14ac:dyDescent="0.2">
      <c r="C359" s="74">
        <v>30</v>
      </c>
      <c r="D359" s="74">
        <v>25.9</v>
      </c>
      <c r="E359" s="114">
        <f t="shared" ca="1" si="30"/>
        <v>0.12370481041018219</v>
      </c>
      <c r="F359" s="117" t="s">
        <v>322</v>
      </c>
    </row>
    <row r="360" spans="3:6" s="74" customFormat="1" x14ac:dyDescent="0.2">
      <c r="C360" s="74">
        <v>30</v>
      </c>
      <c r="D360" s="74">
        <v>26</v>
      </c>
      <c r="E360" s="114">
        <f t="shared" ca="1" si="30"/>
        <v>0.12303780943322296</v>
      </c>
      <c r="F360" s="117" t="s">
        <v>322</v>
      </c>
    </row>
    <row r="361" spans="3:6" s="74" customFormat="1" x14ac:dyDescent="0.2">
      <c r="C361" s="74">
        <v>30</v>
      </c>
      <c r="D361" s="74">
        <v>26.1</v>
      </c>
      <c r="E361" s="114">
        <f t="shared" ca="1" si="30"/>
        <v>0.1223523275085566</v>
      </c>
      <c r="F361" s="117" t="s">
        <v>322</v>
      </c>
    </row>
    <row r="362" spans="3:6" s="74" customFormat="1" x14ac:dyDescent="0.2">
      <c r="C362" s="74">
        <v>30</v>
      </c>
      <c r="D362" s="74">
        <v>26.2</v>
      </c>
      <c r="E362" s="114">
        <f t="shared" ca="1" si="30"/>
        <v>0.12164824993866123</v>
      </c>
      <c r="F362" s="117" t="s">
        <v>322</v>
      </c>
    </row>
    <row r="363" spans="3:6" s="74" customFormat="1" x14ac:dyDescent="0.2">
      <c r="C363" s="74">
        <v>30</v>
      </c>
      <c r="D363" s="74">
        <v>26.3</v>
      </c>
      <c r="E363" s="114">
        <f t="shared" ca="1" si="30"/>
        <v>0.12092546202601487</v>
      </c>
      <c r="F363" s="117" t="s">
        <v>322</v>
      </c>
    </row>
    <row r="364" spans="3:6" s="74" customFormat="1" x14ac:dyDescent="0.2">
      <c r="C364" s="74">
        <v>30</v>
      </c>
      <c r="D364" s="74">
        <v>26.4</v>
      </c>
      <c r="E364" s="114">
        <f t="shared" ca="1" si="30"/>
        <v>0.12018384907309553</v>
      </c>
      <c r="F364" s="117" t="s">
        <v>322</v>
      </c>
    </row>
    <row r="365" spans="3:6" s="74" customFormat="1" x14ac:dyDescent="0.2">
      <c r="C365" s="74">
        <v>30</v>
      </c>
      <c r="D365" s="74">
        <v>26.5</v>
      </c>
      <c r="E365" s="114">
        <f t="shared" ca="1" si="30"/>
        <v>0.11942329638238143</v>
      </c>
      <c r="F365" s="117" t="s">
        <v>322</v>
      </c>
    </row>
    <row r="366" spans="3:6" s="74" customFormat="1" x14ac:dyDescent="0.2">
      <c r="C366" s="74">
        <v>30</v>
      </c>
      <c r="D366" s="74">
        <v>26.6</v>
      </c>
      <c r="E366" s="114">
        <f t="shared" ca="1" si="30"/>
        <v>0.11864368925635059</v>
      </c>
      <c r="F366" s="117" t="s">
        <v>322</v>
      </c>
    </row>
    <row r="367" spans="3:6" s="74" customFormat="1" x14ac:dyDescent="0.2">
      <c r="C367" s="74">
        <v>30</v>
      </c>
      <c r="D367" s="74">
        <v>26.7</v>
      </c>
      <c r="E367" s="114">
        <f t="shared" ca="1" si="30"/>
        <v>0.11784491299748114</v>
      </c>
      <c r="F367" s="117" t="s">
        <v>322</v>
      </c>
    </row>
    <row r="368" spans="3:6" s="74" customFormat="1" x14ac:dyDescent="0.2">
      <c r="C368" s="74">
        <v>30</v>
      </c>
      <c r="D368" s="74">
        <v>26.8</v>
      </c>
      <c r="E368" s="114">
        <f t="shared" ca="1" si="30"/>
        <v>0.11702685290825109</v>
      </c>
      <c r="F368" s="117" t="s">
        <v>322</v>
      </c>
    </row>
    <row r="369" spans="3:6" s="74" customFormat="1" x14ac:dyDescent="0.2">
      <c r="C369" s="74">
        <v>30</v>
      </c>
      <c r="D369" s="74">
        <v>26.9</v>
      </c>
      <c r="E369" s="114">
        <f t="shared" ca="1" si="30"/>
        <v>0.11618939429113861</v>
      </c>
      <c r="F369" s="117" t="s">
        <v>322</v>
      </c>
    </row>
    <row r="370" spans="3:6" s="74" customFormat="1" x14ac:dyDescent="0.2">
      <c r="C370" s="74">
        <v>30</v>
      </c>
      <c r="D370" s="74">
        <v>27</v>
      </c>
      <c r="E370" s="114">
        <f t="shared" ca="1" si="30"/>
        <v>0.11533242244862171</v>
      </c>
      <c r="F370" s="117" t="s">
        <v>322</v>
      </c>
    </row>
    <row r="371" spans="3:6" s="74" customFormat="1" x14ac:dyDescent="0.2">
      <c r="C371" s="74">
        <v>30</v>
      </c>
      <c r="D371" s="74">
        <v>27.1</v>
      </c>
      <c r="E371" s="114">
        <f t="shared" ca="1" si="30"/>
        <v>0.1144558226831785</v>
      </c>
      <c r="F371" s="117" t="s">
        <v>322</v>
      </c>
    </row>
    <row r="372" spans="3:6" s="74" customFormat="1" x14ac:dyDescent="0.2">
      <c r="C372" s="74">
        <v>30</v>
      </c>
      <c r="D372" s="74">
        <v>27.2</v>
      </c>
      <c r="E372" s="114">
        <f t="shared" ca="1" si="30"/>
        <v>0.1135594802972871</v>
      </c>
      <c r="F372" s="117" t="s">
        <v>322</v>
      </c>
    </row>
    <row r="373" spans="3:6" s="74" customFormat="1" x14ac:dyDescent="0.2">
      <c r="C373" s="74">
        <v>30</v>
      </c>
      <c r="D373" s="74">
        <v>27.3</v>
      </c>
      <c r="E373" s="114">
        <f t="shared" ca="1" si="30"/>
        <v>0.11264328059342549</v>
      </c>
      <c r="F373" s="117" t="s">
        <v>322</v>
      </c>
    </row>
    <row r="374" spans="3:6" s="74" customFormat="1" x14ac:dyDescent="0.2">
      <c r="C374" s="74">
        <v>30</v>
      </c>
      <c r="D374" s="74">
        <v>27.4</v>
      </c>
      <c r="E374" s="114">
        <f t="shared" ca="1" si="30"/>
        <v>0.11170710887407177</v>
      </c>
      <c r="F374" s="117" t="s">
        <v>322</v>
      </c>
    </row>
    <row r="375" spans="3:6" s="74" customFormat="1" x14ac:dyDescent="0.2">
      <c r="C375" s="74">
        <v>30</v>
      </c>
      <c r="D375" s="74">
        <v>27.5</v>
      </c>
      <c r="E375" s="114">
        <f t="shared" ca="1" si="30"/>
        <v>0.11075085044170419</v>
      </c>
      <c r="F375" s="117" t="s">
        <v>322</v>
      </c>
    </row>
    <row r="376" spans="3:6" s="74" customFormat="1" x14ac:dyDescent="0.2">
      <c r="C376" s="74">
        <v>30</v>
      </c>
      <c r="D376" s="74">
        <v>27.6</v>
      </c>
      <c r="E376" s="114">
        <f t="shared" ca="1" si="30"/>
        <v>0.10977439059880065</v>
      </c>
      <c r="F376" s="117" t="s">
        <v>322</v>
      </c>
    </row>
    <row r="377" spans="3:6" s="74" customFormat="1" x14ac:dyDescent="0.2">
      <c r="C377" s="74">
        <v>30</v>
      </c>
      <c r="D377" s="74">
        <v>27.7</v>
      </c>
      <c r="E377" s="114">
        <f t="shared" ca="1" si="30"/>
        <v>0.10877761464783935</v>
      </c>
      <c r="F377" s="117" t="s">
        <v>322</v>
      </c>
    </row>
    <row r="378" spans="3:6" s="74" customFormat="1" x14ac:dyDescent="0.2">
      <c r="C378" s="74">
        <v>30</v>
      </c>
      <c r="D378" s="74">
        <v>27.8</v>
      </c>
      <c r="E378" s="114">
        <f t="shared" ca="1" si="30"/>
        <v>0.10776040789129827</v>
      </c>
      <c r="F378" s="117" t="s">
        <v>322</v>
      </c>
    </row>
    <row r="379" spans="3:6" s="74" customFormat="1" x14ac:dyDescent="0.2">
      <c r="C379" s="74">
        <v>30</v>
      </c>
      <c r="D379" s="74">
        <v>27.9</v>
      </c>
      <c r="E379" s="114">
        <f t="shared" ca="1" si="30"/>
        <v>0.10672265563165549</v>
      </c>
      <c r="F379" s="117" t="s">
        <v>322</v>
      </c>
    </row>
    <row r="380" spans="3:6" s="74" customFormat="1" x14ac:dyDescent="0.2">
      <c r="C380" s="74">
        <v>30</v>
      </c>
      <c r="D380" s="74">
        <v>28</v>
      </c>
      <c r="E380" s="114">
        <f t="shared" ca="1" si="30"/>
        <v>0.10566424317138924</v>
      </c>
      <c r="F380" s="117" t="s">
        <v>322</v>
      </c>
    </row>
    <row r="381" spans="3:6" s="74" customFormat="1" x14ac:dyDescent="0.2">
      <c r="C381" s="74">
        <v>30</v>
      </c>
      <c r="D381" s="74">
        <v>28.1</v>
      </c>
      <c r="E381" s="114">
        <f t="shared" ca="1" si="30"/>
        <v>0.10458505581297743</v>
      </c>
      <c r="F381" s="117" t="s">
        <v>322</v>
      </c>
    </row>
    <row r="382" spans="3:6" s="74" customFormat="1" x14ac:dyDescent="0.2">
      <c r="C382" s="74">
        <v>30</v>
      </c>
      <c r="D382" s="74">
        <v>28.2</v>
      </c>
      <c r="E382" s="114">
        <f t="shared" ca="1" si="30"/>
        <v>0.10348497885889829</v>
      </c>
      <c r="F382" s="117" t="s">
        <v>322</v>
      </c>
    </row>
    <row r="383" spans="3:6" s="74" customFormat="1" x14ac:dyDescent="0.2">
      <c r="C383" s="74">
        <v>30</v>
      </c>
      <c r="D383" s="74">
        <v>28.3</v>
      </c>
      <c r="E383" s="114">
        <f t="shared" ca="1" si="30"/>
        <v>0.10236389761162977</v>
      </c>
      <c r="F383" s="117" t="s">
        <v>322</v>
      </c>
    </row>
    <row r="384" spans="3:6" s="74" customFormat="1" x14ac:dyDescent="0.2">
      <c r="C384" s="74">
        <v>30</v>
      </c>
      <c r="D384" s="74">
        <v>28.4</v>
      </c>
      <c r="E384" s="114">
        <f t="shared" ca="1" si="30"/>
        <v>0.10122169737365005</v>
      </c>
      <c r="F384" s="117" t="s">
        <v>322</v>
      </c>
    </row>
    <row r="385" spans="3:9" s="74" customFormat="1" x14ac:dyDescent="0.2">
      <c r="C385" s="74">
        <v>30</v>
      </c>
      <c r="D385" s="74">
        <v>28.5</v>
      </c>
      <c r="E385" s="114">
        <f t="shared" ca="1" si="30"/>
        <v>0.10005826344743721</v>
      </c>
      <c r="F385" s="117" t="s">
        <v>322</v>
      </c>
    </row>
    <row r="386" spans="3:9" s="74" customFormat="1" x14ac:dyDescent="0.2">
      <c r="C386" s="74">
        <v>30</v>
      </c>
      <c r="D386" s="74">
        <v>28.6</v>
      </c>
      <c r="E386" s="114">
        <f t="shared" ca="1" si="30"/>
        <v>9.8873481135469232E-2</v>
      </c>
      <c r="F386" s="117" t="s">
        <v>322</v>
      </c>
    </row>
    <row r="387" spans="3:9" s="74" customFormat="1" x14ac:dyDescent="0.2">
      <c r="C387" s="74">
        <v>30</v>
      </c>
      <c r="D387" s="74">
        <v>28.7</v>
      </c>
      <c r="E387" s="114">
        <f t="shared" ca="1" si="30"/>
        <v>9.7667235740224317E-2</v>
      </c>
      <c r="F387" s="117" t="s">
        <v>322</v>
      </c>
    </row>
    <row r="388" spans="3:9" s="74" customFormat="1" x14ac:dyDescent="0.2">
      <c r="C388" s="74">
        <v>30</v>
      </c>
      <c r="D388" s="74">
        <v>28.8</v>
      </c>
      <c r="E388" s="114">
        <f t="shared" ca="1" si="30"/>
        <v>9.6439412564180427E-2</v>
      </c>
      <c r="F388" s="117" t="s">
        <v>322</v>
      </c>
    </row>
    <row r="389" spans="3:9" s="74" customFormat="1" x14ac:dyDescent="0.2">
      <c r="C389" s="74">
        <v>30</v>
      </c>
      <c r="D389" s="74">
        <v>28.9</v>
      </c>
      <c r="E389" s="114">
        <f t="shared" ca="1" si="30"/>
        <v>9.5189896909815788E-2</v>
      </c>
      <c r="F389" s="117" t="s">
        <v>322</v>
      </c>
    </row>
    <row r="390" spans="3:9" s="74" customFormat="1" x14ac:dyDescent="0.2">
      <c r="C390" s="74">
        <v>30</v>
      </c>
      <c r="D390" s="74">
        <v>29</v>
      </c>
      <c r="E390" s="114">
        <f t="shared" ca="1" si="30"/>
        <v>9.391857407960845E-2</v>
      </c>
      <c r="F390" s="117" t="s">
        <v>322</v>
      </c>
    </row>
    <row r="391" spans="3:9" s="74" customFormat="1" x14ac:dyDescent="0.2">
      <c r="C391" s="74">
        <v>30</v>
      </c>
      <c r="D391" s="74">
        <v>29.1</v>
      </c>
      <c r="E391" s="114">
        <f t="shared" ca="1" si="30"/>
        <v>9.2625329376036375E-2</v>
      </c>
      <c r="F391" s="117" t="s">
        <v>322</v>
      </c>
    </row>
    <row r="392" spans="3:9" s="74" customFormat="1" x14ac:dyDescent="0.2">
      <c r="C392" s="74">
        <v>30</v>
      </c>
      <c r="D392" s="74">
        <v>29.2</v>
      </c>
      <c r="E392" s="114">
        <f t="shared" ca="1" si="30"/>
        <v>9.1310048101577709E-2</v>
      </c>
      <c r="F392" s="117" t="s">
        <v>322</v>
      </c>
    </row>
    <row r="393" spans="3:9" s="74" customFormat="1" x14ac:dyDescent="0.2">
      <c r="C393" s="74">
        <v>30</v>
      </c>
      <c r="D393" s="74">
        <v>29.3</v>
      </c>
      <c r="E393" s="114">
        <f t="shared" ca="1" si="30"/>
        <v>8.997261555871057E-2</v>
      </c>
      <c r="F393" s="117" t="s">
        <v>322</v>
      </c>
    </row>
    <row r="394" spans="3:9" s="74" customFormat="1" x14ac:dyDescent="0.2">
      <c r="C394" s="74">
        <v>30</v>
      </c>
      <c r="D394" s="74">
        <v>29.4</v>
      </c>
      <c r="E394" s="114">
        <f t="shared" ca="1" si="30"/>
        <v>8.8612917049913073E-2</v>
      </c>
      <c r="F394" s="117" t="s">
        <v>322</v>
      </c>
    </row>
    <row r="395" spans="3:9" s="74" customFormat="1" x14ac:dyDescent="0.2">
      <c r="C395" s="74">
        <v>30</v>
      </c>
      <c r="D395" s="74">
        <v>29.5</v>
      </c>
      <c r="E395" s="114">
        <f t="shared" ca="1" si="30"/>
        <v>8.7230837877663239E-2</v>
      </c>
      <c r="F395" s="117" t="s">
        <v>322</v>
      </c>
    </row>
    <row r="396" spans="3:9" s="74" customFormat="1" x14ac:dyDescent="0.2">
      <c r="C396" s="74">
        <v>30</v>
      </c>
      <c r="D396" s="74">
        <v>29.6</v>
      </c>
      <c r="E396" s="114">
        <f t="shared" ca="1" si="30"/>
        <v>8.5826263344439199E-2</v>
      </c>
      <c r="F396" s="117" t="s">
        <v>322</v>
      </c>
    </row>
    <row r="397" spans="3:9" s="74" customFormat="1" x14ac:dyDescent="0.2">
      <c r="C397" s="74">
        <v>30</v>
      </c>
      <c r="D397" s="74">
        <v>29.7</v>
      </c>
      <c r="E397" s="114">
        <f t="shared" ca="1" si="30"/>
        <v>8.4399078752718959E-2</v>
      </c>
      <c r="F397" s="117" t="s">
        <v>322</v>
      </c>
    </row>
    <row r="398" spans="3:9" s="74" customFormat="1" x14ac:dyDescent="0.2">
      <c r="C398" s="74">
        <v>30</v>
      </c>
      <c r="D398" s="74">
        <v>29.8</v>
      </c>
      <c r="E398" s="114">
        <f t="shared" ca="1" si="30"/>
        <v>8.2949169404980622E-2</v>
      </c>
      <c r="F398" s="117" t="s">
        <v>322</v>
      </c>
    </row>
    <row r="399" spans="3:9" s="74" customFormat="1" x14ac:dyDescent="0.2">
      <c r="C399" s="74">
        <v>30</v>
      </c>
      <c r="D399" s="74">
        <v>29.9</v>
      </c>
      <c r="E399" s="114">
        <f t="shared" ca="1" si="30"/>
        <v>8.1476420603702415E-2</v>
      </c>
      <c r="F399" s="117" t="s">
        <v>322</v>
      </c>
    </row>
    <row r="400" spans="3:9" s="74" customFormat="1" x14ac:dyDescent="0.2">
      <c r="C400" s="74">
        <v>30</v>
      </c>
      <c r="D400" s="74">
        <v>30</v>
      </c>
      <c r="E400" s="114">
        <f t="shared" ca="1" si="30"/>
        <v>7.9980717651362082E-2</v>
      </c>
      <c r="F400" s="117">
        <v>0.08</v>
      </c>
      <c r="G400" s="117">
        <f ca="1">F400-E400</f>
        <v>1.9282348637919555E-5</v>
      </c>
      <c r="H400" s="117"/>
      <c r="I400" s="117"/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251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200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201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202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178</v>
      </c>
      <c r="C11" s="55" t="s">
        <v>179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203</v>
      </c>
      <c r="C27" s="83" t="s">
        <v>204</v>
      </c>
      <c r="D27" s="83" t="s">
        <v>186</v>
      </c>
      <c r="F27" s="116" t="s">
        <v>290</v>
      </c>
      <c r="G27" s="116" t="s">
        <v>291</v>
      </c>
      <c r="H27" s="116" t="s">
        <v>292</v>
      </c>
      <c r="I27" s="116" t="s">
        <v>293</v>
      </c>
      <c r="J27" s="116" t="s">
        <v>294</v>
      </c>
      <c r="K27" s="116" t="s">
        <v>295</v>
      </c>
      <c r="L27" s="116" t="s">
        <v>296</v>
      </c>
      <c r="M27" s="116" t="s">
        <v>297</v>
      </c>
      <c r="N27" s="116" t="s">
        <v>298</v>
      </c>
      <c r="O27" s="116" t="s">
        <v>299</v>
      </c>
      <c r="P27" s="116" t="s">
        <v>300</v>
      </c>
      <c r="Q27" s="116" t="s">
        <v>301</v>
      </c>
      <c r="R27" s="93" t="s">
        <v>302</v>
      </c>
      <c r="S27" s="93" t="s">
        <v>303</v>
      </c>
      <c r="T27" s="93" t="s">
        <v>304</v>
      </c>
      <c r="U27" s="93" t="s">
        <v>305</v>
      </c>
      <c r="V27" s="93" t="s">
        <v>306</v>
      </c>
      <c r="W27" s="93" t="s">
        <v>307</v>
      </c>
      <c r="X27" s="93" t="s">
        <v>308</v>
      </c>
      <c r="Y27" s="93" t="s">
        <v>309</v>
      </c>
      <c r="Z27" s="93" t="s">
        <v>310</v>
      </c>
      <c r="AA27" s="93" t="s">
        <v>311</v>
      </c>
      <c r="AB27" s="93" t="s">
        <v>312</v>
      </c>
      <c r="AC27" s="93" t="s">
        <v>313</v>
      </c>
      <c r="AD27" s="93" t="s">
        <v>314</v>
      </c>
      <c r="AE27" s="93" t="s">
        <v>315</v>
      </c>
      <c r="AF27" s="93" t="s">
        <v>316</v>
      </c>
      <c r="AG27" s="93" t="s">
        <v>317</v>
      </c>
      <c r="AH27" s="93" t="s">
        <v>286</v>
      </c>
      <c r="AI27" s="93" t="s">
        <v>287</v>
      </c>
      <c r="AJ27" s="93" t="s">
        <v>318</v>
      </c>
      <c r="AK27" s="93" t="s">
        <v>319</v>
      </c>
      <c r="AL27" s="93"/>
      <c r="AM27" s="93"/>
      <c r="AN27" s="83" t="s">
        <v>285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7.735444560806384E-5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8.2100044301208308E-5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8.6516527900132079E-5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9.0339808310368851E-5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7.6360414150203435E-4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5.6650685881859842E-4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4.7337228908141317E-4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4.286961065182151E-4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4.3697091013100166E-4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1.0765825950435676E-3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8.2637205135232454E-4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5.1053899318857343E-4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1.2791698714492505E-4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1.9089126300750416E-3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1.0976767001326384E-3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4.8111707959180502E-4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-1.2139295817215997E-4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2.8545103371257329E-3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1.2726699077089218E-3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4.2917446539963451E-4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-9.5572170044169735E-4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6.7757398148075888E-3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2.2717573425505089E-3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5.8357827845356626E-4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-5.2512154040262894E-5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8.6247481724226335E-4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-1.5848655310924964E-4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-5.4854428804596831E-5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286</v>
      </c>
      <c r="AN56" s="98">
        <v>-1.0687934822827866E-4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287</v>
      </c>
      <c r="AN57" s="98">
        <v>4.2282350775342042E-3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-2.7892578867593925E-2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-3.7656018538891282E-3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320</v>
      </c>
      <c r="C99" s="55" t="s">
        <v>252</v>
      </c>
      <c r="D99" s="55" t="s">
        <v>288</v>
      </c>
      <c r="E99" s="55" t="s">
        <v>289</v>
      </c>
      <c r="R99" s="55" t="s">
        <v>289</v>
      </c>
      <c r="S99" s="55" t="s">
        <v>323</v>
      </c>
      <c r="T99" s="55" t="s">
        <v>324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" ca="1" si="26">INDIRECT("a_" &amp; i) * t^3 + INDIRECT("b_" &amp; i) * t^2 + INDIRECT("c_" &amp; i) * t^1 + INDIRECT("d_" &amp; i)</f>
        <v>9.0339808310368851E-5</v>
      </c>
      <c r="F100" s="117">
        <v>0</v>
      </c>
      <c r="G100" s="117">
        <f ca="1">F100-E100</f>
        <v>-9.0339808310368851E-5</v>
      </c>
      <c r="K100" s="74" t="s">
        <v>321</v>
      </c>
      <c r="L100" s="118"/>
      <c r="M100" s="74" t="s">
        <v>321</v>
      </c>
      <c r="O100" s="74" t="s">
        <v>321</v>
      </c>
      <c r="Q100" s="119"/>
      <c r="R100" s="120">
        <f t="array" aca="1" ref="R100" ca="1">E100:E400</f>
        <v>9.0339808310368851E-5</v>
      </c>
      <c r="X100" s="74" t="s">
        <v>321</v>
      </c>
      <c r="Y100" s="55"/>
      <c r="AA100" s="74" t="s">
        <v>325</v>
      </c>
      <c r="AD100" s="74" t="s">
        <v>326</v>
      </c>
      <c r="AF100" s="74" t="s">
        <v>327</v>
      </c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ref="E101" ca="1" si="27">INDIRECT("a_" &amp; i) * t^3 + INDIRECT("b_" &amp; i) * t^2 + INDIRECT("c_" &amp; i) * t^1 + INDIRECT("d_" &amp; i)</f>
        <v>9.9889815989002203E-5</v>
      </c>
      <c r="F101" s="117" t="s">
        <v>322</v>
      </c>
      <c r="K101" s="74">
        <f ca="1">SUMSQ(G100,G110,G120,G130,G140,G150,G170,G200,G400)</f>
        <v>4.520196461019599E-3</v>
      </c>
      <c r="M101" s="74">
        <f ca="1">SUMSQ(I110,I120,I130,I140,I150,I170,I200)</f>
        <v>1.2012971387661331E-5</v>
      </c>
      <c r="O101" s="74">
        <f ca="1">K101+M101</f>
        <v>4.5322094324072608E-3</v>
      </c>
      <c r="R101" s="120">
        <f t="array" aca="1" ref="R101" ca="1">E101:E401</f>
        <v>9.9889815989002203E-5</v>
      </c>
      <c r="S101" s="121">
        <f ca="1">(R101-R100)/(D101-D100)</f>
        <v>9.5500076786333521E-5</v>
      </c>
      <c r="X101" s="74">
        <f ca="1">SUMSQ(T110:T111,T120:T121,T130:T131,T140:T141,T150:T151,T170:T171,T200:T201)</f>
        <v>0.20987925571887722</v>
      </c>
      <c r="Y101" s="55"/>
      <c r="AA101" s="122">
        <f ca="1">X101</f>
        <v>0.20987925571887722</v>
      </c>
      <c r="AB101" s="100"/>
      <c r="AC101" s="100"/>
      <c r="AD101" s="100">
        <v>1</v>
      </c>
      <c r="AE101" s="100"/>
      <c r="AF101" s="122">
        <f ca="1">O101+AD101*X101</f>
        <v>0.21441146515128448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ref="E102" ca="1" si="28">INDIRECT("a_" &amp; i) * t^3 + INDIRECT("b_" &amp; i) * t^2 + INDIRECT("c_" &amp; i) * t^1 + INDIRECT("d_" &amp; i)</f>
        <v>1.1154595122730811E-4</v>
      </c>
      <c r="F102" s="117" t="s">
        <v>322</v>
      </c>
      <c r="R102" s="120">
        <f t="array" aca="1" ref="R102" ca="1">E102:E402</f>
        <v>1.1154595122730811E-4</v>
      </c>
      <c r="S102" s="121">
        <f t="shared" ref="S102:S165" ca="1" si="29">(R102-R101)/(D102-D101)</f>
        <v>1.1656135238305904E-4</v>
      </c>
      <c r="T102" s="121">
        <f ca="1">(S102-S101)/(D102-D101)</f>
        <v>2.1061275596725515E-4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ref="E103" ca="1" si="30">INDIRECT("a_" &amp; i) * t^3 + INDIRECT("b_" &amp; i) * t^2 + INDIRECT("c_" &amp; i) * t^1 + INDIRECT("d_" &amp; i)</f>
        <v>1.2577234069893495E-4</v>
      </c>
      <c r="F103" s="117" t="s">
        <v>322</v>
      </c>
      <c r="O103" s="74">
        <f ca="1">LOG10(O101)</f>
        <v>-2.3436900296918575</v>
      </c>
      <c r="R103" s="120">
        <f t="array" aca="1" ref="R103" ca="1">E103:E403</f>
        <v>1.2577234069893495E-4</v>
      </c>
      <c r="S103" s="121">
        <f t="shared" ca="1" si="29"/>
        <v>1.422638947162685E-4</v>
      </c>
      <c r="T103" s="121">
        <f t="shared" ref="T103:T166" ca="1" si="31">(S103-S102)/(D103-D102)</f>
        <v>2.5702542333209467E-4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ref="E104" ca="1" si="32">INDIRECT("a_" &amp; i) * t^3 + INDIRECT("b_" &amp; i) * t^2 + INDIRECT("c_" &amp; i) * t^1 + INDIRECT("d_" &amp; i)</f>
        <v>1.4303311107753111E-4</v>
      </c>
      <c r="F104" s="117" t="s">
        <v>322</v>
      </c>
      <c r="R104" s="120">
        <f t="array" aca="1" ref="R104" ca="1">E104:E404</f>
        <v>1.4303311107753111E-4</v>
      </c>
      <c r="S104" s="121">
        <f t="shared" ca="1" si="29"/>
        <v>1.726077037859615E-4</v>
      </c>
      <c r="T104" s="121">
        <f t="shared" ca="1" si="31"/>
        <v>3.034380906969299E-4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ref="E105" ca="1" si="33">INDIRECT("a_" &amp; i) * t^3 + INDIRECT("b_" &amp; i) * t^2 + INDIRECT("c_" &amp; i) * t^1 + INDIRECT("d_" &amp; i)</f>
        <v>1.6379238903674494E-4</v>
      </c>
      <c r="F105" s="117" t="s">
        <v>322</v>
      </c>
      <c r="R105" s="120">
        <f t="array" aca="1" ref="R105" ca="1">E105:E405</f>
        <v>1.6379238903674494E-4</v>
      </c>
      <c r="S105" s="121">
        <f t="shared" ca="1" si="29"/>
        <v>2.0759277959213834E-4</v>
      </c>
      <c r="T105" s="121">
        <f t="shared" ca="1" si="31"/>
        <v>3.4985075806176843E-4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ref="E106" ca="1" si="34">INDIRECT("a_" &amp; i) * t^3 + INDIRECT("b_" &amp; i) * t^2 + INDIRECT("c_" &amp; i) * t^1 + INDIRECT("d_" &amp; i)</f>
        <v>1.8851430125022488E-4</v>
      </c>
      <c r="F106" s="117" t="s">
        <v>322</v>
      </c>
      <c r="R106" s="120">
        <f t="array" aca="1" ref="R106" ca="1">E106:E406</f>
        <v>1.8851430125022488E-4</v>
      </c>
      <c r="S106" s="121">
        <f t="shared" ca="1" si="29"/>
        <v>2.4721912213479953E-4</v>
      </c>
      <c r="T106" s="121">
        <f t="shared" ca="1" si="31"/>
        <v>3.9626342542661201E-4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ref="E107" ca="1" si="35">INDIRECT("a_" &amp; i) * t^3 + INDIRECT("b_" &amp; i) * t^2 + INDIRECT("c_" &amp; i) * t^1 + INDIRECT("d_" &amp; i)</f>
        <v>2.1766297439161926E-4</v>
      </c>
      <c r="F107" s="117" t="s">
        <v>322</v>
      </c>
      <c r="R107" s="120">
        <f t="array" aca="1" ref="R107" ca="1">E107:E407</f>
        <v>2.1766297439161926E-4</v>
      </c>
      <c r="S107" s="121">
        <f t="shared" ca="1" si="29"/>
        <v>2.9148673141394382E-4</v>
      </c>
      <c r="T107" s="121">
        <f t="shared" ca="1" si="31"/>
        <v>4.4267609279144307E-4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ref="E108" ca="1" si="36">INDIRECT("a_" &amp; i) * t^3 + INDIRECT("b_" &amp; i) * t^2 + INDIRECT("c_" &amp; i) * t^1 + INDIRECT("d_" &amp; i)</f>
        <v>2.5170253513457654E-4</v>
      </c>
      <c r="F108" s="117" t="s">
        <v>322</v>
      </c>
      <c r="R108" s="120">
        <f t="array" aca="1" ref="R108" ca="1">E108:E408</f>
        <v>2.5170253513457654E-4</v>
      </c>
      <c r="S108" s="121">
        <f t="shared" ca="1" si="29"/>
        <v>3.4039560742957247E-4</v>
      </c>
      <c r="T108" s="121">
        <f t="shared" ca="1" si="31"/>
        <v>4.8908876015628605E-4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ref="E109" ca="1" si="37">INDIRECT("a_" &amp; i) * t^3 + INDIRECT("b_" &amp; i) * t^2 + INDIRECT("c_" &amp; i) * t^1 + INDIRECT("d_" &amp; i)</f>
        <v>2.9109711015274503E-4</v>
      </c>
      <c r="F109" s="117" t="s">
        <v>322</v>
      </c>
      <c r="R109" s="120">
        <f t="array" aca="1" ref="R109" ca="1">E109:E409</f>
        <v>2.9109711015274503E-4</v>
      </c>
      <c r="S109" s="121">
        <f t="shared" ca="1" si="29"/>
        <v>3.9394575018168504E-4</v>
      </c>
      <c r="T109" s="121">
        <f t="shared" ca="1" si="31"/>
        <v>5.3550142752112578E-4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ref="E110" ca="1" si="38">INDIRECT("a_" &amp; i) * t^3 + INDIRECT("b_" &amp; i) * t^2 + INDIRECT("c_" &amp; i) * t^1 + INDIRECT("d_" &amp; i)</f>
        <v>2.2321793959202609E-3</v>
      </c>
      <c r="F110" s="117">
        <v>0.02</v>
      </c>
      <c r="G110" s="117">
        <f ca="1">F110-E110</f>
        <v>1.7767820604079741E-2</v>
      </c>
      <c r="H110" s="117">
        <f ca="1">INDIRECT("a_" &amp; i_1) * t^3 + INDIRECT("b_" &amp; i_1) * t^2 + INDIRECT("c_" &amp; i_1) * t^1 + INDIRECT("d_" &amp; i_1)</f>
        <v>3.363108261197731E-4</v>
      </c>
      <c r="I110" s="117">
        <f ca="1">H110-E110</f>
        <v>-1.8958685698004878E-3</v>
      </c>
      <c r="K110" s="119"/>
      <c r="Q110" s="119"/>
      <c r="R110" s="120">
        <f t="array" aca="1" ref="R110" ca="1">E110:E410</f>
        <v>2.2321793959202609E-3</v>
      </c>
      <c r="S110" s="121">
        <f t="shared" ca="1" si="29"/>
        <v>1.9410822857675161E-2</v>
      </c>
      <c r="T110" s="121">
        <f t="shared" ca="1" si="31"/>
        <v>0.19016877107493482</v>
      </c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ref="E111" ca="1" si="39">INDIRECT("a_" &amp; i) * t^3 + INDIRECT("b_" &amp; i) * t^2 + INDIRECT("c_" &amp; i) * t^1 + INDIRECT("d_" &amp; i)</f>
        <v>2.6512360360174815E-3</v>
      </c>
      <c r="F111" s="117" t="s">
        <v>322</v>
      </c>
      <c r="R111" s="120">
        <f t="array" aca="1" ref="R111" ca="1">E111:E411</f>
        <v>2.6512360360174815E-3</v>
      </c>
      <c r="S111" s="121">
        <f t="shared" ca="1" si="29"/>
        <v>4.1905664009722022E-3</v>
      </c>
      <c r="T111" s="121">
        <f t="shared" ca="1" si="31"/>
        <v>-0.15220256456702944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ref="E112" ca="1" si="40">INDIRECT("a_" &amp; i) * t^3 + INDIRECT("b_" &amp; i) * t^2 + INDIRECT("c_" &amp; i) * t^1 + INDIRECT("d_" &amp; i)</f>
        <v>3.1320206866302081E-3</v>
      </c>
      <c r="F112" s="117" t="s">
        <v>322</v>
      </c>
      <c r="R112" s="120">
        <f t="array" aca="1" ref="R112" ca="1">E112:E412</f>
        <v>3.1320206866302081E-3</v>
      </c>
      <c r="S112" s="121">
        <f t="shared" ca="1" si="29"/>
        <v>4.8078465061272722E-3</v>
      </c>
      <c r="T112" s="121">
        <f t="shared" ca="1" si="31"/>
        <v>6.1728010515507076E-3</v>
      </c>
      <c r="AO112" s="74"/>
      <c r="AP112" s="74"/>
      <c r="AQ112" s="74"/>
    </row>
    <row r="113" spans="2:20" s="74" customFormat="1" x14ac:dyDescent="0.2">
      <c r="C113" s="74">
        <v>2</v>
      </c>
      <c r="D113" s="74">
        <v>1.3</v>
      </c>
      <c r="E113" s="114">
        <f t="shared" ref="E113" ca="1" si="41">INDIRECT("a_" &amp; i) * t^3 + INDIRECT("b_" &amp; i) * t^2 + INDIRECT("c_" &amp; i) * t^1 + INDIRECT("d_" &amp; i)</f>
        <v>3.6791149726074532E-3</v>
      </c>
      <c r="F113" s="117" t="s">
        <v>322</v>
      </c>
      <c r="R113" s="120">
        <f t="array" aca="1" ref="R113" ca="1">E113:E413</f>
        <v>3.6791149726074532E-3</v>
      </c>
      <c r="S113" s="121">
        <f t="shared" ca="1" si="29"/>
        <v>5.4709428597724454E-3</v>
      </c>
      <c r="T113" s="121">
        <f t="shared" ca="1" si="31"/>
        <v>6.6309635364517261E-3</v>
      </c>
    </row>
    <row r="114" spans="2:20" s="74" customFormat="1" x14ac:dyDescent="0.2">
      <c r="C114" s="74">
        <v>2</v>
      </c>
      <c r="D114" s="74">
        <v>1.4</v>
      </c>
      <c r="E114" s="114">
        <f t="shared" ref="E114" ca="1" si="42">INDIRECT("a_" &amp; i) * t^3 + INDIRECT("b_" &amp; i) * t^2 + INDIRECT("c_" &amp; i) * t^1 + INDIRECT("d_" &amp; i)</f>
        <v>4.2971005187982282E-3</v>
      </c>
      <c r="F114" s="117" t="s">
        <v>322</v>
      </c>
      <c r="R114" s="120">
        <f t="array" aca="1" ref="R114" ca="1">E114:E414</f>
        <v>4.2971005187982282E-3</v>
      </c>
      <c r="S114" s="121">
        <f t="shared" ca="1" si="29"/>
        <v>6.1798554619077583E-3</v>
      </c>
      <c r="T114" s="121">
        <f t="shared" ca="1" si="31"/>
        <v>7.0891260213531383E-3</v>
      </c>
    </row>
    <row r="115" spans="2:20" s="74" customFormat="1" x14ac:dyDescent="0.2">
      <c r="C115" s="74">
        <v>2</v>
      </c>
      <c r="D115" s="74">
        <v>1.5</v>
      </c>
      <c r="E115" s="114">
        <f t="shared" ref="E115" ca="1" si="43">INDIRECT("a_" &amp; i) * t^3 + INDIRECT("b_" &amp; i) * t^2 + INDIRECT("c_" &amp; i) * t^1 + INDIRECT("d_" &amp; i)</f>
        <v>4.9905589500515478E-3</v>
      </c>
      <c r="F115" s="117" t="s">
        <v>322</v>
      </c>
      <c r="R115" s="120">
        <f t="array" aca="1" ref="R115" ca="1">E115:E415</f>
        <v>4.9905589500515478E-3</v>
      </c>
      <c r="S115" s="121">
        <f t="shared" ca="1" si="29"/>
        <v>6.93458431253319E-3</v>
      </c>
      <c r="T115" s="121">
        <f t="shared" ca="1" si="31"/>
        <v>7.5472885062543103E-3</v>
      </c>
    </row>
    <row r="116" spans="2:20" s="74" customFormat="1" x14ac:dyDescent="0.2">
      <c r="C116" s="74">
        <v>2</v>
      </c>
      <c r="D116" s="74">
        <v>1.6</v>
      </c>
      <c r="E116" s="114">
        <f t="shared" ref="E116" ca="1" si="44">INDIRECT("a_" &amp; i) * t^3 + INDIRECT("b_" &amp; i) * t^2 + INDIRECT("c_" &amp; i) * t^1 + INDIRECT("d_" &amp; i)</f>
        <v>5.7640718912164218E-3</v>
      </c>
      <c r="F116" s="117" t="s">
        <v>322</v>
      </c>
      <c r="R116" s="120">
        <f t="array" aca="1" ref="R116" ca="1">E116:E416</f>
        <v>5.7640718912164218E-3</v>
      </c>
      <c r="S116" s="121">
        <f t="shared" ca="1" si="29"/>
        <v>7.7351294116487328E-3</v>
      </c>
      <c r="T116" s="121">
        <f t="shared" ca="1" si="31"/>
        <v>8.0054509911554207E-3</v>
      </c>
    </row>
    <row r="117" spans="2:20" s="74" customFormat="1" x14ac:dyDescent="0.2">
      <c r="C117" s="74">
        <v>2</v>
      </c>
      <c r="D117" s="74">
        <v>1.7</v>
      </c>
      <c r="E117" s="114">
        <f t="shared" ref="E117" ca="1" si="45">INDIRECT("a_" &amp; i) * t^3 + INDIRECT("b_" &amp; i) * t^2 + INDIRECT("c_" &amp; i) * t^1 + INDIRECT("d_" &amp; i)</f>
        <v>6.6222209671418604E-3</v>
      </c>
      <c r="F117" s="117" t="s">
        <v>322</v>
      </c>
      <c r="R117" s="120">
        <f t="array" aca="1" ref="R117" ca="1">E117:E417</f>
        <v>6.6222209671418604E-3</v>
      </c>
      <c r="S117" s="121">
        <f t="shared" ca="1" si="29"/>
        <v>8.5814907592543978E-3</v>
      </c>
      <c r="T117" s="121">
        <f t="shared" ca="1" si="31"/>
        <v>8.4636134760566629E-3</v>
      </c>
    </row>
    <row r="118" spans="2:20" s="74" customFormat="1" x14ac:dyDescent="0.2">
      <c r="C118" s="74">
        <v>2</v>
      </c>
      <c r="D118" s="74">
        <v>1.8</v>
      </c>
      <c r="E118" s="114">
        <f t="shared" ref="E118" ca="1" si="46">INDIRECT("a_" &amp; i) * t^3 + INDIRECT("b_" &amp; i) * t^2 + INDIRECT("c_" &amp; i) * t^1 + INDIRECT("d_" &amp; i)</f>
        <v>7.5695878026768824E-3</v>
      </c>
      <c r="F118" s="117" t="s">
        <v>322</v>
      </c>
      <c r="R118" s="120">
        <f t="array" aca="1" ref="R118" ca="1">E118:E418</f>
        <v>7.5695878026768824E-3</v>
      </c>
      <c r="S118" s="121">
        <f t="shared" ca="1" si="29"/>
        <v>9.4736683553502121E-3</v>
      </c>
      <c r="T118" s="121">
        <f t="shared" ca="1" si="31"/>
        <v>8.9217759609581341E-3</v>
      </c>
    </row>
    <row r="119" spans="2:20" s="74" customFormat="1" x14ac:dyDescent="0.2">
      <c r="C119" s="74">
        <v>2</v>
      </c>
      <c r="D119" s="74">
        <v>1.9</v>
      </c>
      <c r="E119" s="114">
        <f t="shared" ref="E119" ca="1" si="47">INDIRECT("a_" &amp; i) * t^3 + INDIRECT("b_" &amp; i) * t^2 + INDIRECT("c_" &amp; i) * t^1 + INDIRECT("d_" &amp; i)</f>
        <v>8.6107540226704939E-3</v>
      </c>
      <c r="F119" s="117" t="s">
        <v>322</v>
      </c>
      <c r="R119" s="120">
        <f t="array" aca="1" ref="R119" ca="1">E119:E419</f>
        <v>8.6107540226704939E-3</v>
      </c>
      <c r="S119" s="121">
        <f t="shared" ca="1" si="29"/>
        <v>1.0411662199936129E-2</v>
      </c>
      <c r="T119" s="121">
        <f t="shared" ca="1" si="31"/>
        <v>9.3799384458591786E-3</v>
      </c>
    </row>
    <row r="120" spans="2:20" s="74" customFormat="1" x14ac:dyDescent="0.2">
      <c r="B120" s="74">
        <v>2</v>
      </c>
      <c r="C120" s="74">
        <v>3</v>
      </c>
      <c r="D120" s="74">
        <v>2</v>
      </c>
      <c r="E120" s="114">
        <f t="shared" ref="E120" ca="1" si="48">INDIRECT("a_" &amp; i) * t^3 + INDIRECT("b_" &amp; i) * t^2 + INDIRECT("c_" &amp; i) * t^1 + INDIRECT("d_" &amp; i)</f>
        <v>9.9653807571155051E-3</v>
      </c>
      <c r="F120" s="117">
        <v>3.7869296080000003E-2</v>
      </c>
      <c r="G120" s="117">
        <f ca="1">F120-E120</f>
        <v>2.7903915322884498E-2</v>
      </c>
      <c r="H120" s="117">
        <f ca="1">INDIRECT("a_" &amp; i_1) * t^3 + INDIRECT("b_" &amp; i_1) * t^2 + INDIRECT("c_" &amp; i_1) * t^1 + INDIRECT("d_" &amp; i_1)</f>
        <v>9.7503012519717103E-3</v>
      </c>
      <c r="I120" s="117">
        <f ca="1">H120-E120</f>
        <v>-2.1507950514379481E-4</v>
      </c>
      <c r="K120" s="119"/>
      <c r="Q120" s="119"/>
      <c r="R120" s="120">
        <f t="array" aca="1" ref="R120" ca="1">E120:E420</f>
        <v>9.9653807571155051E-3</v>
      </c>
      <c r="S120" s="121">
        <f t="shared" ca="1" si="29"/>
        <v>1.3546267344450099E-2</v>
      </c>
      <c r="T120" s="121">
        <f t="shared" ca="1" si="31"/>
        <v>3.1346051445139675E-2</v>
      </c>
    </row>
    <row r="121" spans="2:20" s="74" customFormat="1" x14ac:dyDescent="0.2">
      <c r="C121" s="74">
        <v>3</v>
      </c>
      <c r="D121" s="74">
        <v>2.1</v>
      </c>
      <c r="E121" s="114">
        <f t="shared" ref="E121" ca="1" si="49">INDIRECT("a_" &amp; i) * t^3 + INDIRECT("b_" &amp; i) * t^2 + INDIRECT("c_" &amp; i) * t^1 + INDIRECT("d_" &amp; i)</f>
        <v>1.1040437143893793E-2</v>
      </c>
      <c r="F121" s="117" t="s">
        <v>322</v>
      </c>
      <c r="R121" s="120">
        <f t="array" aca="1" ref="R121" ca="1">E121:E421</f>
        <v>1.1040437143893793E-2</v>
      </c>
      <c r="S121" s="121">
        <f t="shared" ca="1" si="29"/>
        <v>1.0750563867782868E-2</v>
      </c>
      <c r="T121" s="121">
        <f t="shared" ca="1" si="31"/>
        <v>-2.7957034766672294E-2</v>
      </c>
    </row>
    <row r="122" spans="2:20" s="74" customFormat="1" x14ac:dyDescent="0.2">
      <c r="C122" s="74">
        <v>3</v>
      </c>
      <c r="D122" s="74">
        <v>2.2000000000000002</v>
      </c>
      <c r="E122" s="114">
        <f t="shared" ref="E122" ca="1" si="50">INDIRECT("a_" &amp; i) * t^3 + INDIRECT("b_" &amp; i) * t^2 + INDIRECT("c_" &amp; i) * t^1 + INDIRECT("d_" &amp; i)</f>
        <v>1.2192083517249463E-2</v>
      </c>
      <c r="F122" s="117" t="s">
        <v>322</v>
      </c>
      <c r="R122" s="120">
        <f t="array" aca="1" ref="R122" ca="1">E122:E422</f>
        <v>1.2192083517249463E-2</v>
      </c>
      <c r="S122" s="121">
        <f t="shared" ca="1" si="29"/>
        <v>1.1516463733556692E-2</v>
      </c>
      <c r="T122" s="121">
        <f t="shared" ca="1" si="31"/>
        <v>7.6589986577382391E-3</v>
      </c>
    </row>
    <row r="123" spans="2:20" s="74" customFormat="1" x14ac:dyDescent="0.2">
      <c r="C123" s="74">
        <v>3</v>
      </c>
      <c r="D123" s="74">
        <v>2.2999999999999998</v>
      </c>
      <c r="E123" s="114">
        <f t="shared" ref="E123" ca="1" si="51">INDIRECT("a_" &amp; i) * t^3 + INDIRECT("b_" &amp; i) * t^2 + INDIRECT("c_" &amp; i) * t^1 + INDIRECT("d_" &amp; i)</f>
        <v>1.3422941702643286E-2</v>
      </c>
      <c r="F123" s="117" t="s">
        <v>322</v>
      </c>
      <c r="R123" s="120">
        <f t="array" aca="1" ref="R123" ca="1">E123:E423</f>
        <v>1.3422941702643286E-2</v>
      </c>
      <c r="S123" s="121">
        <f t="shared" ca="1" si="29"/>
        <v>1.2308581853938275E-2</v>
      </c>
      <c r="T123" s="121">
        <f t="shared" ca="1" si="31"/>
        <v>7.9211812038158559E-3</v>
      </c>
    </row>
    <row r="124" spans="2:20" s="74" customFormat="1" x14ac:dyDescent="0.2">
      <c r="C124" s="74">
        <v>3</v>
      </c>
      <c r="D124" s="74">
        <v>2.4</v>
      </c>
      <c r="E124" s="114">
        <f t="shared" ref="E124" ca="1" si="52">INDIRECT("a_" &amp; i) * t^3 + INDIRECT("b_" &amp; i) * t^2 + INDIRECT("c_" &amp; i) * t^1 + INDIRECT("d_" &amp; i)</f>
        <v>1.4735633525536068E-2</v>
      </c>
      <c r="F124" s="117" t="s">
        <v>322</v>
      </c>
      <c r="R124" s="120">
        <f t="array" aca="1" ref="R124" ca="1">E124:E424</f>
        <v>1.4735633525536068E-2</v>
      </c>
      <c r="S124" s="121">
        <f t="shared" ca="1" si="29"/>
        <v>1.31269182289278E-2</v>
      </c>
      <c r="T124" s="121">
        <f t="shared" ca="1" si="31"/>
        <v>8.1833637498952422E-3</v>
      </c>
    </row>
    <row r="125" spans="2:20" s="74" customFormat="1" x14ac:dyDescent="0.2">
      <c r="C125" s="74">
        <v>3</v>
      </c>
      <c r="D125" s="74">
        <v>2.5</v>
      </c>
      <c r="E125" s="114">
        <f t="shared" ref="E125" ca="1" si="53">INDIRECT("a_" &amp; i) * t^3 + INDIRECT("b_" &amp; i) * t^2 + INDIRECT("c_" &amp; i) * t^1 + INDIRECT("d_" &amp; i)</f>
        <v>1.6132780811388584E-2</v>
      </c>
      <c r="F125" s="117" t="s">
        <v>322</v>
      </c>
      <c r="R125" s="120">
        <f t="array" aca="1" ref="R125" ca="1">E125:E425</f>
        <v>1.6132780811388584E-2</v>
      </c>
      <c r="S125" s="121">
        <f t="shared" ca="1" si="29"/>
        <v>1.3971472858525154E-2</v>
      </c>
      <c r="T125" s="121">
        <f t="shared" ca="1" si="31"/>
        <v>8.4455462959735356E-3</v>
      </c>
    </row>
    <row r="126" spans="2:20" s="74" customFormat="1" x14ac:dyDescent="0.2">
      <c r="C126" s="74">
        <v>3</v>
      </c>
      <c r="D126" s="74">
        <v>2.6</v>
      </c>
      <c r="E126" s="114">
        <f t="shared" ref="E126" ca="1" si="54">INDIRECT("a_" &amp; i) * t^3 + INDIRECT("b_" &amp; i) * t^2 + INDIRECT("c_" &amp; i) * t^1 + INDIRECT("d_" &amp; i)</f>
        <v>1.7617005385661622E-2</v>
      </c>
      <c r="F126" s="117" t="s">
        <v>322</v>
      </c>
      <c r="R126" s="120">
        <f t="array" aca="1" ref="R126" ca="1">E126:E426</f>
        <v>1.7617005385661622E-2</v>
      </c>
      <c r="S126" s="121">
        <f t="shared" ca="1" si="29"/>
        <v>1.4842245742730367E-2</v>
      </c>
      <c r="T126" s="121">
        <f t="shared" ca="1" si="31"/>
        <v>8.7077288420521239E-3</v>
      </c>
    </row>
    <row r="127" spans="2:20" s="74" customFormat="1" x14ac:dyDescent="0.2">
      <c r="C127" s="74">
        <v>3</v>
      </c>
      <c r="D127" s="74">
        <v>2.7</v>
      </c>
      <c r="E127" s="114">
        <f t="shared" ref="E127" ca="1" si="55">INDIRECT("a_" &amp; i) * t^3 + INDIRECT("b_" &amp; i) * t^2 + INDIRECT("c_" &amp; i) * t^1 + INDIRECT("d_" &amp; i)</f>
        <v>1.9190929073815966E-2</v>
      </c>
      <c r="F127" s="117" t="s">
        <v>322</v>
      </c>
      <c r="R127" s="120">
        <f t="array" aca="1" ref="R127" ca="1">E127:E427</f>
        <v>1.9190929073815966E-2</v>
      </c>
      <c r="S127" s="121">
        <f t="shared" ca="1" si="29"/>
        <v>1.5739236881543425E-2</v>
      </c>
      <c r="T127" s="121">
        <f t="shared" ca="1" si="31"/>
        <v>8.9699113881305716E-3</v>
      </c>
    </row>
    <row r="128" spans="2:20" s="74" customFormat="1" x14ac:dyDescent="0.2">
      <c r="C128" s="74">
        <v>3</v>
      </c>
      <c r="D128" s="74">
        <v>2.8</v>
      </c>
      <c r="E128" s="114">
        <f t="shared" ref="E128" ca="1" si="56">INDIRECT("a_" &amp; i) * t^3 + INDIRECT("b_" &amp; i) * t^2 + INDIRECT("c_" &amp; i) * t^1 + INDIRECT("d_" &amp; i)</f>
        <v>2.0857173701312397E-2</v>
      </c>
      <c r="F128" s="117" t="s">
        <v>322</v>
      </c>
      <c r="R128" s="120">
        <f t="array" aca="1" ref="R128" ca="1">E128:E428</f>
        <v>2.0857173701312397E-2</v>
      </c>
      <c r="S128" s="121">
        <f t="shared" ca="1" si="29"/>
        <v>1.6662446274964365E-2</v>
      </c>
      <c r="T128" s="121">
        <f t="shared" ca="1" si="31"/>
        <v>9.2320939342094271E-3</v>
      </c>
    </row>
    <row r="129" spans="2:20" s="74" customFormat="1" x14ac:dyDescent="0.2">
      <c r="C129" s="74">
        <v>3</v>
      </c>
      <c r="D129" s="74">
        <v>2.9</v>
      </c>
      <c r="E129" s="114">
        <f t="shared" ref="E129" ca="1" si="57">INDIRECT("a_" &amp; i) * t^3 + INDIRECT("b_" &amp; i) * t^2 + INDIRECT("c_" &amp; i) * t^1 + INDIRECT("d_" &amp; i)</f>
        <v>2.2618361093611716E-2</v>
      </c>
      <c r="F129" s="117" t="s">
        <v>322</v>
      </c>
      <c r="R129" s="120">
        <f t="array" aca="1" ref="R129" ca="1">E129:E429</f>
        <v>2.2618361093611716E-2</v>
      </c>
      <c r="S129" s="121">
        <f t="shared" ca="1" si="29"/>
        <v>1.7611873922993172E-2</v>
      </c>
      <c r="T129" s="121">
        <f t="shared" ca="1" si="31"/>
        <v>9.4942764802880605E-3</v>
      </c>
    </row>
    <row r="130" spans="2:20" s="74" customFormat="1" x14ac:dyDescent="0.2">
      <c r="B130" s="74">
        <v>3</v>
      </c>
      <c r="C130" s="74">
        <v>4</v>
      </c>
      <c r="D130" s="74">
        <v>3</v>
      </c>
      <c r="E130" s="114">
        <f t="shared" ref="E130" ca="1" si="58">INDIRECT("a_" &amp; i) * t^3 + INDIRECT("b_" &amp; i) * t^2 + INDIRECT("c_" &amp; i) * t^1 + INDIRECT("d_" &amp; i)</f>
        <v>2.4408119503578071E-2</v>
      </c>
      <c r="F130" s="117">
        <v>4.4685005659999999E-2</v>
      </c>
      <c r="G130" s="117">
        <f ca="1">F130-E130</f>
        <v>2.0276886156421928E-2</v>
      </c>
      <c r="H130" s="117">
        <f ca="1">INDIRECT("a_" &amp; i_1) * t^3 + INDIRECT("b_" &amp; i_1) * t^2 + INDIRECT("c_" &amp; i_1) * t^1 + INDIRECT("d_" &amp; i_1)</f>
        <v>2.4477113076174704E-2</v>
      </c>
      <c r="I130" s="117">
        <f ca="1">H130-E130</f>
        <v>6.8993572596633135E-5</v>
      </c>
      <c r="K130" s="119"/>
      <c r="Q130" s="119"/>
      <c r="R130" s="120">
        <f t="array" aca="1" ref="R130" ca="1">E130:E430</f>
        <v>2.4408119503578071E-2</v>
      </c>
      <c r="S130" s="121">
        <f t="shared" ca="1" si="29"/>
        <v>1.7897584099663532E-2</v>
      </c>
      <c r="T130" s="121">
        <f t="shared" ca="1" si="31"/>
        <v>2.8571017667036016E-3</v>
      </c>
    </row>
    <row r="131" spans="2:20" s="74" customFormat="1" x14ac:dyDescent="0.2">
      <c r="C131" s="74">
        <v>4</v>
      </c>
      <c r="D131" s="74">
        <v>3.1</v>
      </c>
      <c r="E131" s="114">
        <f t="shared" ref="E131" ca="1" si="59">INDIRECT("a_" &amp; i) * t^3 + INDIRECT("b_" &amp; i) * t^2 + INDIRECT("c_" &amp; i) * t^1 + INDIRECT("d_" &amp; i)</f>
        <v>2.60393401890586E-2</v>
      </c>
      <c r="F131" s="117" t="s">
        <v>322</v>
      </c>
      <c r="R131" s="120">
        <f t="array" aca="1" ref="R131" ca="1">E131:E431</f>
        <v>2.60393401890586E-2</v>
      </c>
      <c r="S131" s="121">
        <f t="shared" ca="1" si="29"/>
        <v>1.6312206854805278E-2</v>
      </c>
      <c r="T131" s="121">
        <f t="shared" ca="1" si="31"/>
        <v>-1.5853772448582527E-2</v>
      </c>
    </row>
    <row r="132" spans="2:20" s="74" customFormat="1" x14ac:dyDescent="0.2">
      <c r="C132" s="74">
        <v>4</v>
      </c>
      <c r="D132" s="74">
        <v>3.2</v>
      </c>
      <c r="E132" s="114">
        <f t="shared" ref="E132" ca="1" si="60">INDIRECT("a_" &amp; i) * t^3 + INDIRECT("b_" &amp; i) * t^2 + INDIRECT("c_" &amp; i) * t^1 + INDIRECT("d_" &amp; i)</f>
        <v>2.7732531686749582E-2</v>
      </c>
      <c r="F132" s="117" t="s">
        <v>322</v>
      </c>
      <c r="R132" s="120">
        <f t="array" aca="1" ref="R132" ca="1">E132:E432</f>
        <v>2.7732531686749582E-2</v>
      </c>
      <c r="S132" s="121">
        <f t="shared" ca="1" si="29"/>
        <v>1.6931914976909809E-2</v>
      </c>
      <c r="T132" s="121">
        <f t="shared" ca="1" si="31"/>
        <v>6.1970812210453089E-3</v>
      </c>
    </row>
    <row r="133" spans="2:20" s="74" customFormat="1" x14ac:dyDescent="0.2">
      <c r="C133" s="74">
        <v>4</v>
      </c>
      <c r="D133" s="74">
        <v>3.3</v>
      </c>
      <c r="E133" s="114">
        <f t="shared" ref="E133" ca="1" si="61">INDIRECT("a_" &amp; i) * t^3 + INDIRECT("b_" &amp; i) * t^2 + INDIRECT("c_" &amp; i) * t^1 + INDIRECT("d_" &amp; i)</f>
        <v>2.9488461498573884E-2</v>
      </c>
      <c r="F133" s="117" t="s">
        <v>322</v>
      </c>
      <c r="R133" s="120">
        <f t="array" aca="1" ref="R133" ca="1">E133:E433</f>
        <v>2.9488461498573884E-2</v>
      </c>
      <c r="S133" s="121">
        <f t="shared" ca="1" si="29"/>
        <v>1.7559298118243083E-2</v>
      </c>
      <c r="T133" s="121">
        <f t="shared" ca="1" si="31"/>
        <v>6.2738314133327592E-3</v>
      </c>
    </row>
    <row r="134" spans="2:20" s="74" customFormat="1" x14ac:dyDescent="0.2">
      <c r="C134" s="74">
        <v>4</v>
      </c>
      <c r="D134" s="74">
        <v>3.4</v>
      </c>
      <c r="E134" s="114">
        <f t="shared" ref="E134" ca="1" si="62">INDIRECT("a_" &amp; i) * t^3 + INDIRECT("b_" &amp; i) * t^2 + INDIRECT("c_" &amp; i) * t^1 + INDIRECT("d_" &amp; i)</f>
        <v>3.130789712645439E-2</v>
      </c>
      <c r="F134" s="117" t="s">
        <v>322</v>
      </c>
      <c r="R134" s="120">
        <f t="array" aca="1" ref="R134" ca="1">E134:E434</f>
        <v>3.130789712645439E-2</v>
      </c>
      <c r="S134" s="121">
        <f t="shared" ca="1" si="29"/>
        <v>1.819435627880504E-2</v>
      </c>
      <c r="T134" s="121">
        <f t="shared" ca="1" si="31"/>
        <v>6.3505816056195633E-3</v>
      </c>
    </row>
    <row r="135" spans="2:20" s="74" customFormat="1" x14ac:dyDescent="0.2">
      <c r="C135" s="74">
        <v>4</v>
      </c>
      <c r="D135" s="74">
        <v>3.5</v>
      </c>
      <c r="E135" s="114">
        <f t="shared" ref="E135" ca="1" si="63">INDIRECT("a_" &amp; i) * t^3 + INDIRECT("b_" &amp; i) * t^2 + INDIRECT("c_" &amp; i) * t^1 + INDIRECT("d_" &amp; i)</f>
        <v>3.3191606072313959E-2</v>
      </c>
      <c r="F135" s="117" t="s">
        <v>322</v>
      </c>
      <c r="R135" s="120">
        <f t="array" aca="1" ref="R135" ca="1">E135:E435</f>
        <v>3.3191606072313959E-2</v>
      </c>
      <c r="S135" s="121">
        <f t="shared" ca="1" si="29"/>
        <v>1.8837089458595673E-2</v>
      </c>
      <c r="T135" s="121">
        <f t="shared" ca="1" si="31"/>
        <v>6.4273317979063266E-3</v>
      </c>
    </row>
    <row r="136" spans="2:20" s="74" customFormat="1" x14ac:dyDescent="0.2">
      <c r="C136" s="74">
        <v>4</v>
      </c>
      <c r="D136" s="74">
        <v>3.6</v>
      </c>
      <c r="E136" s="114">
        <f t="shared" ref="E136" ca="1" si="64">INDIRECT("a_" &amp; i) * t^3 + INDIRECT("b_" &amp; i) * t^2 + INDIRECT("c_" &amp; i) * t^1 + INDIRECT("d_" &amp; i)</f>
        <v>3.5140355838075468E-2</v>
      </c>
      <c r="F136" s="117" t="s">
        <v>322</v>
      </c>
      <c r="R136" s="120">
        <f t="array" aca="1" ref="R136" ca="1">E136:E436</f>
        <v>3.5140355838075468E-2</v>
      </c>
      <c r="S136" s="121">
        <f t="shared" ca="1" si="29"/>
        <v>1.9487497657615076E-2</v>
      </c>
      <c r="T136" s="121">
        <f t="shared" ca="1" si="31"/>
        <v>6.5040819901940267E-3</v>
      </c>
    </row>
    <row r="137" spans="2:20" s="74" customFormat="1" x14ac:dyDescent="0.2">
      <c r="C137" s="74">
        <v>4</v>
      </c>
      <c r="D137" s="74">
        <v>3.7</v>
      </c>
      <c r="E137" s="114">
        <f t="shared" ref="E137" ca="1" si="65">INDIRECT("a_" &amp; i) * t^3 + INDIRECT("b_" &amp; i) * t^2 + INDIRECT("c_" &amp; i) * t^1 + INDIRECT("d_" &amp; i)</f>
        <v>3.7154913925661781E-2</v>
      </c>
      <c r="F137" s="117" t="s">
        <v>322</v>
      </c>
      <c r="R137" s="120">
        <f t="array" aca="1" ref="R137" ca="1">E137:E437</f>
        <v>3.7154913925661781E-2</v>
      </c>
      <c r="S137" s="121">
        <f t="shared" ca="1" si="29"/>
        <v>2.0145580875863111E-2</v>
      </c>
      <c r="T137" s="121">
        <f t="shared" ca="1" si="31"/>
        <v>6.580832182480339E-3</v>
      </c>
    </row>
    <row r="138" spans="2:20" s="74" customFormat="1" x14ac:dyDescent="0.2">
      <c r="C138" s="74">
        <v>4</v>
      </c>
      <c r="D138" s="74">
        <v>3.8</v>
      </c>
      <c r="E138" s="114">
        <f t="shared" ref="E138" ca="1" si="66">INDIRECT("a_" &amp; i) * t^3 + INDIRECT("b_" &amp; i) * t^2 + INDIRECT("c_" &amp; i) * t^1 + INDIRECT("d_" &amp; i)</f>
        <v>3.923604783699576E-2</v>
      </c>
      <c r="F138" s="117" t="s">
        <v>322</v>
      </c>
      <c r="R138" s="120">
        <f t="array" aca="1" ref="R138" ca="1">E138:E438</f>
        <v>3.923604783699576E-2</v>
      </c>
      <c r="S138" s="121">
        <f t="shared" ca="1" si="29"/>
        <v>2.0811339113339867E-2</v>
      </c>
      <c r="T138" s="121">
        <f t="shared" ca="1" si="31"/>
        <v>6.6575823747675828E-3</v>
      </c>
    </row>
    <row r="139" spans="2:20" s="74" customFormat="1" x14ac:dyDescent="0.2">
      <c r="C139" s="74">
        <v>4</v>
      </c>
      <c r="D139" s="74">
        <v>3.9</v>
      </c>
      <c r="E139" s="114">
        <f t="shared" ref="E139" ca="1" si="67">INDIRECT("a_" &amp; i) * t^3 + INDIRECT("b_" &amp; i) * t^2 + INDIRECT("c_" &amp; i) * t^1 + INDIRECT("d_" &amp; i)</f>
        <v>4.1384525074000283E-2</v>
      </c>
      <c r="F139" s="117" t="s">
        <v>322</v>
      </c>
      <c r="R139" s="120">
        <f t="array" aca="1" ref="R139" ca="1">E139:E439</f>
        <v>4.1384525074000283E-2</v>
      </c>
      <c r="S139" s="121">
        <f t="shared" ca="1" si="29"/>
        <v>2.1484772370045209E-2</v>
      </c>
      <c r="T139" s="121">
        <f t="shared" ca="1" si="31"/>
        <v>6.7343325670534146E-3</v>
      </c>
    </row>
    <row r="140" spans="2:20" s="74" customFormat="1" x14ac:dyDescent="0.2">
      <c r="B140" s="74">
        <v>4</v>
      </c>
      <c r="C140" s="74">
        <v>5</v>
      </c>
      <c r="D140" s="74">
        <v>4</v>
      </c>
      <c r="E140" s="114">
        <f t="shared" ref="E140" ca="1" si="68">INDIRECT("a_" &amp; i) * t^3 + INDIRECT("b_" &amp; i) * t^2 + INDIRECT("c_" &amp; i) * t^1 + INDIRECT("d_" &amp; i)</f>
        <v>4.3422870167228809E-2</v>
      </c>
      <c r="F140" s="117">
        <v>5.1500715240000002E-2</v>
      </c>
      <c r="G140" s="117">
        <f ca="1">F140-E140</f>
        <v>8.077845072771192E-3</v>
      </c>
      <c r="H140" s="117">
        <f ca="1">INDIRECT("a_" &amp; i_1) * t^3 + INDIRECT("b_" &amp; i_1) * t^2 + INDIRECT("c_" &amp; i_1) * t^1 + INDIRECT("d_" &amp; i_1)</f>
        <v>4.3601113138598227E-2</v>
      </c>
      <c r="I140" s="117">
        <f ca="1">H140-E140</f>
        <v>1.7824297136941752E-4</v>
      </c>
      <c r="K140" s="119"/>
      <c r="Q140" s="119"/>
      <c r="R140" s="120">
        <f t="array" aca="1" ref="R140" ca="1">E140:E440</f>
        <v>4.3422870167228809E-2</v>
      </c>
      <c r="S140" s="121">
        <f t="shared" ca="1" si="29"/>
        <v>2.0383450932285243E-2</v>
      </c>
      <c r="T140" s="121">
        <f t="shared" ca="1" si="31"/>
        <v>-1.101321437759965E-2</v>
      </c>
    </row>
    <row r="141" spans="2:20" s="74" customFormat="1" x14ac:dyDescent="0.2">
      <c r="C141" s="74">
        <v>5</v>
      </c>
      <c r="D141" s="74">
        <v>4.0999999999999996</v>
      </c>
      <c r="E141" s="114">
        <f t="shared" ref="E141" ca="1" si="69">INDIRECT("a_" &amp; i) * t^3 + INDIRECT("b_" &amp; i) * t^2 + INDIRECT("c_" &amp; i) * t^1 + INDIRECT("d_" &amp; i)</f>
        <v>4.5264915783906345E-2</v>
      </c>
      <c r="F141" s="117" t="s">
        <v>322</v>
      </c>
      <c r="R141" s="120">
        <f t="array" aca="1" ref="R141" ca="1">E141:E441</f>
        <v>4.5264915783906345E-2</v>
      </c>
      <c r="S141" s="121">
        <f t="shared" ca="1" si="29"/>
        <v>1.8420456166775425E-2</v>
      </c>
      <c r="T141" s="121">
        <f t="shared" ca="1" si="31"/>
        <v>-1.9629947655098248E-2</v>
      </c>
    </row>
    <row r="142" spans="2:20" s="74" customFormat="1" x14ac:dyDescent="0.2">
      <c r="C142" s="74">
        <v>5</v>
      </c>
      <c r="D142" s="74">
        <v>4.2</v>
      </c>
      <c r="E142" s="114">
        <f t="shared" ref="E142" ca="1" si="70">INDIRECT("a_" &amp; i) * t^3 + INDIRECT("b_" &amp; i) * t^2 + INDIRECT("c_" &amp; i) * t^1 + INDIRECT("d_" &amp; i)</f>
        <v>4.7134188939616045E-2</v>
      </c>
      <c r="F142" s="117" t="s">
        <v>322</v>
      </c>
      <c r="R142" s="120">
        <f t="array" aca="1" ref="R142" ca="1">E142:E442</f>
        <v>4.7134188939616045E-2</v>
      </c>
      <c r="S142" s="121">
        <f t="shared" ca="1" si="29"/>
        <v>1.8692731557096897E-2</v>
      </c>
      <c r="T142" s="121">
        <f t="shared" ca="1" si="31"/>
        <v>2.7227539032147054E-3</v>
      </c>
    </row>
    <row r="143" spans="2:20" s="74" customFormat="1" x14ac:dyDescent="0.2">
      <c r="C143" s="74">
        <v>5</v>
      </c>
      <c r="D143" s="74">
        <v>4.3</v>
      </c>
      <c r="E143" s="114">
        <f t="shared" ref="E143" ca="1" si="71">INDIRECT("a_" &amp; i) * t^3 + INDIRECT("b_" &amp; i) * t^2 + INDIRECT("c_" &amp; i) * t^1 + INDIRECT("d_" &amp; i)</f>
        <v>4.9029961276608872E-2</v>
      </c>
      <c r="F143" s="117" t="s">
        <v>322</v>
      </c>
      <c r="R143" s="120">
        <f t="array" aca="1" ref="R143" ca="1">E143:E443</f>
        <v>4.9029961276608872E-2</v>
      </c>
      <c r="S143" s="121">
        <f t="shared" ca="1" si="29"/>
        <v>1.895772336992833E-2</v>
      </c>
      <c r="T143" s="121">
        <f t="shared" ca="1" si="31"/>
        <v>2.649918128314342E-3</v>
      </c>
    </row>
    <row r="144" spans="2:20" s="74" customFormat="1" x14ac:dyDescent="0.2">
      <c r="C144" s="74">
        <v>5</v>
      </c>
      <c r="D144" s="74">
        <v>4.4000000000000004</v>
      </c>
      <c r="E144" s="114">
        <f t="shared" ref="E144" ca="1" si="72">INDIRECT("a_" &amp; i) * t^3 + INDIRECT("b_" &amp; i) * t^2 + INDIRECT("c_" &amp; i) * t^1 + INDIRECT("d_" &amp; i)</f>
        <v>5.0951504437135808E-2</v>
      </c>
      <c r="F144" s="117" t="s">
        <v>322</v>
      </c>
      <c r="R144" s="120">
        <f t="array" aca="1" ref="R144" ca="1">E144:E444</f>
        <v>5.0951504437135808E-2</v>
      </c>
      <c r="S144" s="121">
        <f t="shared" ca="1" si="29"/>
        <v>1.9215431605269263E-2</v>
      </c>
      <c r="T144" s="121">
        <f t="shared" ca="1" si="31"/>
        <v>2.5770823534093171E-3</v>
      </c>
    </row>
    <row r="145" spans="2:20" s="74" customFormat="1" x14ac:dyDescent="0.2">
      <c r="C145" s="74">
        <v>5</v>
      </c>
      <c r="D145" s="74">
        <v>4.5</v>
      </c>
      <c r="E145" s="114">
        <f t="shared" ref="E145" ca="1" si="73">INDIRECT("a_" &amp; i) * t^3 + INDIRECT("b_" &amp; i) * t^2 + INDIRECT("c_" &amp; i) * t^1 + INDIRECT("d_" &amp; i)</f>
        <v>5.289809006344779E-2</v>
      </c>
      <c r="F145" s="117" t="s">
        <v>322</v>
      </c>
      <c r="R145" s="120">
        <f t="array" aca="1" ref="R145" ca="1">E145:E445</f>
        <v>5.289809006344779E-2</v>
      </c>
      <c r="S145" s="121">
        <f t="shared" ca="1" si="29"/>
        <v>1.9465856263119891E-2</v>
      </c>
      <c r="T145" s="121">
        <f t="shared" ca="1" si="31"/>
        <v>2.5042465785062814E-3</v>
      </c>
    </row>
    <row r="146" spans="2:20" s="74" customFormat="1" x14ac:dyDescent="0.2">
      <c r="C146" s="74">
        <v>5</v>
      </c>
      <c r="D146" s="74">
        <v>4.5999999999999996</v>
      </c>
      <c r="E146" s="114">
        <f t="shared" ref="E146" ca="1" si="74">INDIRECT("a_" &amp; i) * t^3 + INDIRECT("b_" &amp; i) * t^2 + INDIRECT("c_" &amp; i) * t^1 + INDIRECT("d_" &amp; i)</f>
        <v>5.4868989797795815E-2</v>
      </c>
      <c r="F146" s="117" t="s">
        <v>322</v>
      </c>
      <c r="R146" s="120">
        <f t="array" aca="1" ref="R146" ca="1">E146:E446</f>
        <v>5.4868989797795815E-2</v>
      </c>
      <c r="S146" s="121">
        <f t="shared" ca="1" si="29"/>
        <v>1.970899734348032E-2</v>
      </c>
      <c r="T146" s="121">
        <f t="shared" ca="1" si="31"/>
        <v>2.4314108036042979E-3</v>
      </c>
    </row>
    <row r="147" spans="2:20" s="74" customFormat="1" x14ac:dyDescent="0.2">
      <c r="C147" s="74">
        <v>5</v>
      </c>
      <c r="D147" s="74">
        <v>4.7</v>
      </c>
      <c r="E147" s="114">
        <f t="shared" ref="E147" ca="1" si="75">INDIRECT("a_" &amp; i) * t^3 + INDIRECT("b_" &amp; i) * t^2 + INDIRECT("c_" &amp; i) * t^1 + INDIRECT("d_" &amp; i)</f>
        <v>5.6863475282430853E-2</v>
      </c>
      <c r="F147" s="117" t="s">
        <v>322</v>
      </c>
      <c r="R147" s="120">
        <f t="array" aca="1" ref="R147" ca="1">E147:E447</f>
        <v>5.6863475282430853E-2</v>
      </c>
      <c r="S147" s="121">
        <f t="shared" ca="1" si="29"/>
        <v>1.9944854846350269E-2</v>
      </c>
      <c r="T147" s="121">
        <f t="shared" ca="1" si="31"/>
        <v>2.3585750286994832E-3</v>
      </c>
    </row>
    <row r="148" spans="2:20" s="74" customFormat="1" x14ac:dyDescent="0.2">
      <c r="C148" s="74">
        <v>5</v>
      </c>
      <c r="D148" s="74">
        <v>4.8</v>
      </c>
      <c r="E148" s="114">
        <f t="shared" ref="E148" ca="1" si="76">INDIRECT("a_" &amp; i) * t^3 + INDIRECT("b_" &amp; i) * t^2 + INDIRECT("c_" &amp; i) * t^1 + INDIRECT("d_" &amp; i)</f>
        <v>5.8880818159603825E-2</v>
      </c>
      <c r="F148" s="117" t="s">
        <v>322</v>
      </c>
      <c r="R148" s="120">
        <f t="array" aca="1" ref="R148" ca="1">E148:E448</f>
        <v>5.8880818159603825E-2</v>
      </c>
      <c r="S148" s="121">
        <f t="shared" ca="1" si="29"/>
        <v>2.0173428771729788E-2</v>
      </c>
      <c r="T148" s="121">
        <f t="shared" ca="1" si="31"/>
        <v>2.2857392537951964E-3</v>
      </c>
    </row>
    <row r="149" spans="2:20" s="74" customFormat="1" x14ac:dyDescent="0.2">
      <c r="C149" s="74">
        <v>5</v>
      </c>
      <c r="D149" s="74">
        <v>4.9000000000000004</v>
      </c>
      <c r="E149" s="114">
        <f t="shared" ref="E149" ca="1" si="77">INDIRECT("a_" &amp; i) * t^3 + INDIRECT("b_" &amp; i) * t^2 + INDIRECT("c_" &amp; i) * t^1 + INDIRECT("d_" &amp; i)</f>
        <v>6.0920290071565762E-2</v>
      </c>
      <c r="F149" s="117" t="s">
        <v>322</v>
      </c>
      <c r="R149" s="120">
        <f t="array" aca="1" ref="R149" ca="1">E149:E449</f>
        <v>6.0920290071565762E-2</v>
      </c>
      <c r="S149" s="121">
        <f t="shared" ca="1" si="29"/>
        <v>2.0394719119619268E-2</v>
      </c>
      <c r="T149" s="121">
        <f t="shared" ca="1" si="31"/>
        <v>2.2129034788947893E-3</v>
      </c>
    </row>
    <row r="150" spans="2:20" s="74" customFormat="1" x14ac:dyDescent="0.2">
      <c r="B150" s="74">
        <v>5</v>
      </c>
      <c r="C150" s="74">
        <v>7</v>
      </c>
      <c r="D150" s="74">
        <v>5</v>
      </c>
      <c r="E150" s="114">
        <f t="shared" ref="E150" ca="1" si="78">INDIRECT("a_" &amp; i) * t^3 + INDIRECT("b_" &amp; i) * t^2 + INDIRECT("c_" &amp; i) * t^1 + INDIRECT("d_" &amp; i)</f>
        <v>6.1870647806183662E-2</v>
      </c>
      <c r="F150" s="117">
        <v>5.8316424819999997E-2</v>
      </c>
      <c r="G150" s="117">
        <f ca="1">F150-E150</f>
        <v>-3.5542229861836652E-3</v>
      </c>
      <c r="H150" s="117">
        <f ca="1">INDIRECT("a_" &amp; i_1) * t^3 + INDIRECT("b_" &amp; i_1) * t^2 + INDIRECT("c_" &amp; i_1) * t^1 + INDIRECT("d_" &amp; i_1)</f>
        <v>6.298116266056758E-2</v>
      </c>
      <c r="I150" s="117">
        <f ca="1">H150-E150</f>
        <v>1.1105148543839177E-3</v>
      </c>
      <c r="K150" s="119"/>
      <c r="Q150" s="119"/>
      <c r="R150" s="120">
        <f t="array" aca="1" ref="R150" ca="1">E150:E450</f>
        <v>6.1870647806183662E-2</v>
      </c>
      <c r="S150" s="121">
        <f t="shared" ca="1" si="29"/>
        <v>9.5035773461790343E-3</v>
      </c>
      <c r="T150" s="121">
        <f t="shared" ca="1" si="31"/>
        <v>-0.10891141773440273</v>
      </c>
    </row>
    <row r="151" spans="2:20" s="74" customFormat="1" x14ac:dyDescent="0.2">
      <c r="C151" s="74">
        <v>7</v>
      </c>
      <c r="D151" s="74">
        <v>5.0999999999999996</v>
      </c>
      <c r="E151" s="114">
        <f t="shared" ref="E151" ca="1" si="79">INDIRECT("a_" &amp; i) * t^3 + INDIRECT("b_" &amp; i) * t^2 + INDIRECT("c_" &amp; i) * t^1 + INDIRECT("d_" &amp; i)</f>
        <v>6.162909402331495E-2</v>
      </c>
      <c r="F151" s="117" t="s">
        <v>322</v>
      </c>
      <c r="R151" s="120">
        <f t="array" aca="1" ref="R151" ca="1">E151:E451</f>
        <v>6.162909402331495E-2</v>
      </c>
      <c r="S151" s="121">
        <f t="shared" ca="1" si="29"/>
        <v>-2.4155378286871369E-3</v>
      </c>
      <c r="T151" s="121">
        <f t="shared" ca="1" si="31"/>
        <v>-0.11919115174866214</v>
      </c>
    </row>
    <row r="152" spans="2:20" s="74" customFormat="1" x14ac:dyDescent="0.2">
      <c r="C152" s="74">
        <v>7</v>
      </c>
      <c r="D152" s="74">
        <v>5.2</v>
      </c>
      <c r="E152" s="114">
        <f t="shared" ref="E152" ca="1" si="80">INDIRECT("a_" &amp; i) * t^3 + INDIRECT("b_" &amp; i) * t^2 + INDIRECT("c_" &amp; i) * t^1 + INDIRECT("d_" &amp; i)</f>
        <v>6.1230604196407218E-2</v>
      </c>
      <c r="F152" s="117" t="s">
        <v>322</v>
      </c>
      <c r="R152" s="120">
        <f t="array" aca="1" ref="R152" ca="1">E152:E452</f>
        <v>6.1230604196407218E-2</v>
      </c>
      <c r="S152" s="121">
        <f t="shared" ca="1" si="29"/>
        <v>-3.9848982690772958E-3</v>
      </c>
      <c r="T152" s="121">
        <f t="shared" ca="1" si="31"/>
        <v>-1.5693604403901506E-2</v>
      </c>
    </row>
    <row r="153" spans="2:20" s="74" customFormat="1" x14ac:dyDescent="0.2">
      <c r="C153" s="74">
        <v>7</v>
      </c>
      <c r="D153" s="74">
        <v>5.3</v>
      </c>
      <c r="E153" s="114">
        <f t="shared" ref="E153" ca="1" si="81">INDIRECT("a_" &amp; i) * t^3 + INDIRECT("b_" &amp; i) * t^2 + INDIRECT("c_" &amp; i) * t^1 + INDIRECT("d_" &amp; i)</f>
        <v>6.066944399525788E-2</v>
      </c>
      <c r="F153" s="117" t="s">
        <v>322</v>
      </c>
      <c r="R153" s="120">
        <f t="array" aca="1" ref="R153" ca="1">E153:E453</f>
        <v>6.066944399525788E-2</v>
      </c>
      <c r="S153" s="121">
        <f t="shared" ca="1" si="29"/>
        <v>-5.6116020114934028E-3</v>
      </c>
      <c r="T153" s="121">
        <f t="shared" ca="1" si="31"/>
        <v>-1.6267037424161128E-2</v>
      </c>
    </row>
    <row r="154" spans="2:20" s="74" customFormat="1" x14ac:dyDescent="0.2">
      <c r="C154" s="74">
        <v>7</v>
      </c>
      <c r="D154" s="74">
        <v>5.4</v>
      </c>
      <c r="E154" s="114">
        <f t="shared" ref="E154" ca="1" si="82">INDIRECT("a_" &amp; i) * t^3 + INDIRECT("b_" &amp; i) * t^2 + INDIRECT("c_" &amp; i) * t^1 + INDIRECT("d_" &amp; i)</f>
        <v>5.9939879089664187E-2</v>
      </c>
      <c r="F154" s="117" t="s">
        <v>322</v>
      </c>
      <c r="R154" s="120">
        <f t="array" aca="1" ref="R154" ca="1">E154:E454</f>
        <v>5.9939879089664187E-2</v>
      </c>
      <c r="S154" s="121">
        <f t="shared" ca="1" si="29"/>
        <v>-7.295649055936884E-3</v>
      </c>
      <c r="T154" s="121">
        <f t="shared" ca="1" si="31"/>
        <v>-1.6840470444434721E-2</v>
      </c>
    </row>
    <row r="155" spans="2:20" s="74" customFormat="1" x14ac:dyDescent="0.2">
      <c r="C155" s="74">
        <v>7</v>
      </c>
      <c r="D155" s="74">
        <v>5.5</v>
      </c>
      <c r="E155" s="114">
        <f t="shared" ref="E155" ca="1" si="83">INDIRECT("a_" &amp; i) * t^3 + INDIRECT("b_" &amp; i) * t^2 + INDIRECT("c_" &amp; i) * t^1 + INDIRECT("d_" &amp; i)</f>
        <v>5.9036175149423553E-2</v>
      </c>
      <c r="F155" s="117" t="s">
        <v>322</v>
      </c>
      <c r="R155" s="120">
        <f t="array" aca="1" ref="R155" ca="1">E155:E455</f>
        <v>5.9036175149423553E-2</v>
      </c>
      <c r="S155" s="121">
        <f t="shared" ca="1" si="29"/>
        <v>-9.037039402406374E-3</v>
      </c>
      <c r="T155" s="121">
        <f t="shared" ca="1" si="31"/>
        <v>-1.7413903464694961E-2</v>
      </c>
    </row>
    <row r="156" spans="2:20" s="74" customFormat="1" x14ac:dyDescent="0.2">
      <c r="C156" s="74">
        <v>7</v>
      </c>
      <c r="D156" s="74">
        <v>5.6</v>
      </c>
      <c r="E156" s="114">
        <f t="shared" ref="E156" ca="1" si="84">INDIRECT("a_" &amp; i) * t^3 + INDIRECT("b_" &amp; i) * t^2 + INDIRECT("c_" &amp; i) * t^1 + INDIRECT("d_" &amp; i)</f>
        <v>5.7952597844333278E-2</v>
      </c>
      <c r="F156" s="117" t="s">
        <v>322</v>
      </c>
      <c r="R156" s="120">
        <f t="array" aca="1" ref="R156" ca="1">E156:E456</f>
        <v>5.7952597844333278E-2</v>
      </c>
      <c r="S156" s="121">
        <f t="shared" ca="1" si="29"/>
        <v>-1.0835773050902785E-2</v>
      </c>
      <c r="T156" s="121">
        <f t="shared" ca="1" si="31"/>
        <v>-1.7987336484964176E-2</v>
      </c>
    </row>
    <row r="157" spans="2:20" s="74" customFormat="1" x14ac:dyDescent="0.2">
      <c r="C157" s="74">
        <v>7</v>
      </c>
      <c r="D157" s="74">
        <v>5.7</v>
      </c>
      <c r="E157" s="114">
        <f t="shared" ref="E157" ca="1" si="85">INDIRECT("a_" &amp; i) * t^3 + INDIRECT("b_" &amp; i) * t^2 + INDIRECT("c_" &amp; i) * t^1 + INDIRECT("d_" &amp; i)</f>
        <v>5.6683412844190782E-2</v>
      </c>
      <c r="F157" s="117" t="s">
        <v>322</v>
      </c>
      <c r="R157" s="120">
        <f t="array" aca="1" ref="R157" ca="1">E157:E457</f>
        <v>5.6683412844190782E-2</v>
      </c>
      <c r="S157" s="121">
        <f t="shared" ca="1" si="29"/>
        <v>-1.2691850001424894E-2</v>
      </c>
      <c r="T157" s="121">
        <f t="shared" ca="1" si="31"/>
        <v>-1.8560769505220988E-2</v>
      </c>
    </row>
    <row r="158" spans="2:20" s="74" customFormat="1" x14ac:dyDescent="0.2">
      <c r="C158" s="74">
        <v>7</v>
      </c>
      <c r="D158" s="74">
        <v>5.8</v>
      </c>
      <c r="E158" s="114">
        <f t="shared" ref="E158" ca="1" si="86">INDIRECT("a_" &amp; i) * t^3 + INDIRECT("b_" &amp; i) * t^2 + INDIRECT("c_" &amp; i) * t^1 + INDIRECT("d_" &amp; i)</f>
        <v>5.5222885818793366E-2</v>
      </c>
      <c r="F158" s="117" t="s">
        <v>322</v>
      </c>
      <c r="R158" s="120">
        <f t="array" aca="1" ref="R158" ca="1">E158:E458</f>
        <v>5.5222885818793366E-2</v>
      </c>
      <c r="S158" s="121">
        <f t="shared" ca="1" si="29"/>
        <v>-1.4605270253974217E-2</v>
      </c>
      <c r="T158" s="121">
        <f t="shared" ca="1" si="31"/>
        <v>-1.9134202525493294E-2</v>
      </c>
    </row>
    <row r="159" spans="2:20" s="74" customFormat="1" x14ac:dyDescent="0.2">
      <c r="C159" s="74">
        <v>7</v>
      </c>
      <c r="D159" s="74">
        <v>5.9</v>
      </c>
      <c r="E159" s="114">
        <f t="shared" ref="E159" ca="1" si="87">INDIRECT("a_" &amp; i) * t^3 + INDIRECT("b_" &amp; i) * t^2 + INDIRECT("c_" &amp; i) * t^1 + INDIRECT("d_" &amp; i)</f>
        <v>5.3565282437938386E-2</v>
      </c>
      <c r="F159" s="117" t="s">
        <v>322</v>
      </c>
      <c r="R159" s="120">
        <f t="array" aca="1" ref="R159" ca="1">E159:E459</f>
        <v>5.3565282437938386E-2</v>
      </c>
      <c r="S159" s="121">
        <f t="shared" ca="1" si="29"/>
        <v>-1.6576033808549714E-2</v>
      </c>
      <c r="T159" s="121">
        <f t="shared" ca="1" si="31"/>
        <v>-1.9707635545754866E-2</v>
      </c>
    </row>
    <row r="160" spans="2:20" s="74" customFormat="1" x14ac:dyDescent="0.2">
      <c r="C160" s="74">
        <v>7</v>
      </c>
      <c r="D160" s="74">
        <v>6</v>
      </c>
      <c r="E160" s="114">
        <f t="shared" ref="E160" ca="1" si="88">INDIRECT("a_" &amp; i) * t^3 + INDIRECT("b_" &amp; i) * t^2 + INDIRECT("c_" &amp; i) * t^1 + INDIRECT("d_" &amp; i)</f>
        <v>5.1704868371423178E-2</v>
      </c>
      <c r="F160" s="117" t="s">
        <v>322</v>
      </c>
      <c r="R160" s="120">
        <f t="array" aca="1" ref="R160" ca="1">E160:E460</f>
        <v>5.1704868371423178E-2</v>
      </c>
      <c r="S160" s="121">
        <f t="shared" ca="1" si="29"/>
        <v>-1.8604140665152143E-2</v>
      </c>
      <c r="T160" s="121">
        <f t="shared" ca="1" si="31"/>
        <v>-2.0281068566024369E-2</v>
      </c>
    </row>
    <row r="161" spans="2:20" s="74" customFormat="1" x14ac:dyDescent="0.2">
      <c r="C161" s="74">
        <v>7</v>
      </c>
      <c r="D161" s="74">
        <v>6.1</v>
      </c>
      <c r="E161" s="114">
        <f t="shared" ref="E161" ca="1" si="89">INDIRECT("a_" &amp; i) * t^3 + INDIRECT("b_" &amp; i) * t^2 + INDIRECT("c_" &amp; i) * t^1 + INDIRECT("d_" &amp; i)</f>
        <v>4.9635909289045183E-2</v>
      </c>
      <c r="F161" s="117" t="s">
        <v>322</v>
      </c>
      <c r="R161" s="120">
        <f t="array" aca="1" ref="R161" ca="1">E161:E461</f>
        <v>4.9635909289045183E-2</v>
      </c>
      <c r="S161" s="121">
        <f t="shared" ca="1" si="29"/>
        <v>-2.0689590823780028E-2</v>
      </c>
      <c r="T161" s="121">
        <f t="shared" ca="1" si="31"/>
        <v>-2.0854501586278915E-2</v>
      </c>
    </row>
    <row r="162" spans="2:20" s="74" customFormat="1" x14ac:dyDescent="0.2">
      <c r="C162" s="74">
        <v>7</v>
      </c>
      <c r="D162" s="74">
        <v>6.2</v>
      </c>
      <c r="E162" s="114">
        <f t="shared" ref="E162" ca="1" si="90">INDIRECT("a_" &amp; i) * t^3 + INDIRECT("b_" &amp; i) * t^2 + INDIRECT("c_" &amp; i) * t^1 + INDIRECT("d_" &amp; i)</f>
        <v>4.7352670860601589E-2</v>
      </c>
      <c r="F162" s="117" t="s">
        <v>322</v>
      </c>
      <c r="R162" s="120">
        <f t="array" aca="1" ref="R162" ca="1">E162:E462</f>
        <v>4.7352670860601589E-2</v>
      </c>
      <c r="S162" s="121">
        <f t="shared" ca="1" si="29"/>
        <v>-2.2832384284435809E-2</v>
      </c>
      <c r="T162" s="121">
        <f t="shared" ca="1" si="31"/>
        <v>-2.1427934606557699E-2</v>
      </c>
    </row>
    <row r="163" spans="2:20" s="74" customFormat="1" x14ac:dyDescent="0.2">
      <c r="C163" s="74">
        <v>7</v>
      </c>
      <c r="D163" s="74">
        <v>6.3</v>
      </c>
      <c r="E163" s="114">
        <f t="shared" ref="E163" ca="1" si="91">INDIRECT("a_" &amp; i) * t^3 + INDIRECT("b_" &amp; i) * t^2 + INDIRECT("c_" &amp; i) * t^1 + INDIRECT("d_" &amp; i)</f>
        <v>4.4849418755889901E-2</v>
      </c>
      <c r="F163" s="117" t="s">
        <v>322</v>
      </c>
      <c r="R163" s="120">
        <f t="array" aca="1" ref="R163" ca="1">E163:E463</f>
        <v>4.4849418755889901E-2</v>
      </c>
      <c r="S163" s="121">
        <f t="shared" ca="1" si="29"/>
        <v>-2.5032521047116972E-2</v>
      </c>
      <c r="T163" s="121">
        <f t="shared" ca="1" si="31"/>
        <v>-2.2001367626811711E-2</v>
      </c>
    </row>
    <row r="164" spans="2:20" s="74" customFormat="1" x14ac:dyDescent="0.2">
      <c r="C164" s="74">
        <v>7</v>
      </c>
      <c r="D164" s="74">
        <v>6.4</v>
      </c>
      <c r="E164" s="114">
        <f t="shared" ref="E164" ca="1" si="92">INDIRECT("a_" &amp; i) * t^3 + INDIRECT("b_" &amp; i) * t^2 + INDIRECT("c_" &amp; i) * t^1 + INDIRECT("d_" &amp; i)</f>
        <v>4.2120418644707364E-2</v>
      </c>
      <c r="F164" s="117" t="s">
        <v>322</v>
      </c>
      <c r="R164" s="120">
        <f t="array" aca="1" ref="R164" ca="1">E164:E464</f>
        <v>4.2120418644707364E-2</v>
      </c>
      <c r="S164" s="121">
        <f t="shared" ca="1" si="29"/>
        <v>-2.7290001111825231E-2</v>
      </c>
      <c r="T164" s="121">
        <f t="shared" ca="1" si="31"/>
        <v>-2.2574800647082467E-2</v>
      </c>
    </row>
    <row r="165" spans="2:20" s="74" customFormat="1" x14ac:dyDescent="0.2">
      <c r="C165" s="74">
        <v>7</v>
      </c>
      <c r="D165" s="74">
        <v>6.5</v>
      </c>
      <c r="E165" s="114">
        <f t="shared" ref="E165" ca="1" si="93">INDIRECT("a_" &amp; i) * t^3 + INDIRECT("b_" &amp; i) * t^2 + INDIRECT("c_" &amp; i) * t^1 + INDIRECT("d_" &amp; i)</f>
        <v>3.9159936196851382E-2</v>
      </c>
      <c r="F165" s="117" t="s">
        <v>322</v>
      </c>
      <c r="R165" s="120">
        <f t="array" aca="1" ref="R165" ca="1">E165:E465</f>
        <v>3.9159936196851382E-2</v>
      </c>
      <c r="S165" s="121">
        <f t="shared" ca="1" si="29"/>
        <v>-2.9604824478559923E-2</v>
      </c>
      <c r="T165" s="121">
        <f t="shared" ca="1" si="31"/>
        <v>-2.3148233667347001E-2</v>
      </c>
    </row>
    <row r="166" spans="2:20" s="74" customFormat="1" x14ac:dyDescent="0.2">
      <c r="C166" s="74">
        <v>7</v>
      </c>
      <c r="D166" s="74">
        <v>6.6</v>
      </c>
      <c r="E166" s="114">
        <f t="shared" ref="E166" ca="1" si="94">INDIRECT("a_" &amp; i) * t^3 + INDIRECT("b_" &amp; i) * t^2 + INDIRECT("c_" &amp; i) * t^1 + INDIRECT("d_" &amp; i)</f>
        <v>3.596223708211925E-2</v>
      </c>
      <c r="F166" s="117" t="s">
        <v>322</v>
      </c>
      <c r="R166" s="120">
        <f t="array" aca="1" ref="R166" ca="1">E166:E466</f>
        <v>3.596223708211925E-2</v>
      </c>
      <c r="S166" s="121">
        <f t="shared" ref="S166:S229" ca="1" si="95">(R166-R165)/(D166-D165)</f>
        <v>-3.1976991147321429E-2</v>
      </c>
      <c r="T166" s="121">
        <f t="shared" ca="1" si="31"/>
        <v>-2.3721666687615148E-2</v>
      </c>
    </row>
    <row r="167" spans="2:20" s="74" customFormat="1" x14ac:dyDescent="0.2">
      <c r="C167" s="74">
        <v>7</v>
      </c>
      <c r="D167" s="74">
        <v>6.7</v>
      </c>
      <c r="E167" s="114">
        <f t="shared" ref="E167" ca="1" si="96">INDIRECT("a_" &amp; i) * t^3 + INDIRECT("b_" &amp; i) * t^2 + INDIRECT("c_" &amp; i) * t^1 + INDIRECT("d_" &amp; i)</f>
        <v>3.2521586970308408E-2</v>
      </c>
      <c r="F167" s="117" t="s">
        <v>322</v>
      </c>
      <c r="R167" s="120">
        <f t="array" aca="1" ref="R167" ca="1">E167:E467</f>
        <v>3.2521586970308408E-2</v>
      </c>
      <c r="S167" s="121">
        <f t="shared" ca="1" si="95"/>
        <v>-3.4406501118108238E-2</v>
      </c>
      <c r="T167" s="121">
        <f t="shared" ref="T167:T230" ca="1" si="97">(S167-S166)/(D167-D166)</f>
        <v>-2.4295099707867956E-2</v>
      </c>
    </row>
    <row r="168" spans="2:20" s="74" customFormat="1" x14ac:dyDescent="0.2">
      <c r="C168" s="74">
        <v>7</v>
      </c>
      <c r="D168" s="74">
        <v>6.8</v>
      </c>
      <c r="E168" s="114">
        <f t="shared" ref="E168" ca="1" si="98">INDIRECT("a_" &amp; i) * t^3 + INDIRECT("b_" &amp; i) * t^2 + INDIRECT("c_" &amp; i) * t^1 + INDIRECT("d_" &amp; i)</f>
        <v>2.8832251531216165E-2</v>
      </c>
      <c r="F168" s="117" t="s">
        <v>322</v>
      </c>
      <c r="R168" s="120">
        <f t="array" aca="1" ref="R168" ca="1">E168:E468</f>
        <v>2.8832251531216165E-2</v>
      </c>
      <c r="S168" s="121">
        <f t="shared" ca="1" si="95"/>
        <v>-3.6893354390922568E-2</v>
      </c>
      <c r="T168" s="121">
        <f t="shared" ca="1" si="97"/>
        <v>-2.4868532728143395E-2</v>
      </c>
    </row>
    <row r="169" spans="2:20" s="74" customFormat="1" x14ac:dyDescent="0.2">
      <c r="C169" s="74">
        <v>7</v>
      </c>
      <c r="D169" s="74">
        <v>6.9</v>
      </c>
      <c r="E169" s="114">
        <f t="shared" ref="E169" ca="1" si="99">INDIRECT("a_" &amp; i) * t^3 + INDIRECT("b_" &amp; i) * t^2 + INDIRECT("c_" &amp; i) * t^1 + INDIRECT("d_" &amp; i)</f>
        <v>2.4888496434639796E-2</v>
      </c>
      <c r="F169" s="117" t="s">
        <v>322</v>
      </c>
      <c r="R169" s="120">
        <f t="array" aca="1" ref="R169" ca="1">E169:E469</f>
        <v>2.4888496434639796E-2</v>
      </c>
      <c r="S169" s="121">
        <f t="shared" ca="1" si="95"/>
        <v>-3.9437550965763478E-2</v>
      </c>
      <c r="T169" s="121">
        <f t="shared" ca="1" si="97"/>
        <v>-2.544196574840896E-2</v>
      </c>
    </row>
    <row r="170" spans="2:20" s="74" customFormat="1" x14ac:dyDescent="0.2">
      <c r="B170" s="74">
        <v>7</v>
      </c>
      <c r="C170" s="74">
        <v>10</v>
      </c>
      <c r="D170" s="74">
        <v>7</v>
      </c>
      <c r="E170" s="114">
        <f t="shared" ref="E170" ca="1" si="100">INDIRECT("a_" &amp; i) * t^3 + INDIRECT("b_" &amp; i) * t^2 + INDIRECT("c_" &amp; i) * t^1 + INDIRECT("d_" &amp; i)</f>
        <v>2.3085336908491388E-2</v>
      </c>
      <c r="F170" s="117">
        <v>6.51321344E-2</v>
      </c>
      <c r="G170" s="117">
        <f ca="1">F170-E170</f>
        <v>4.2046797491508608E-2</v>
      </c>
      <c r="H170" s="117">
        <f ca="1">INDIRECT("a_" &amp; i_1) * t^3 + INDIRECT("b_" &amp; i_1) * t^2 + INDIRECT("c_" &amp; i_1) * t^1 + INDIRECT("d_" &amp; i_1)</f>
        <v>2.0684587350376787E-2</v>
      </c>
      <c r="I170" s="117">
        <f ca="1">H170-E170</f>
        <v>-2.4007495581146003E-3</v>
      </c>
      <c r="K170" s="119"/>
      <c r="Q170" s="119"/>
      <c r="R170" s="120">
        <f t="array" aca="1" ref="R170" ca="1">E170:E470</f>
        <v>2.3085336908491388E-2</v>
      </c>
      <c r="S170" s="121">
        <f t="shared" ca="1" si="95"/>
        <v>-1.8031595261484144E-2</v>
      </c>
      <c r="T170" s="121">
        <f t="shared" ca="1" si="97"/>
        <v>0.21405955704279409</v>
      </c>
    </row>
    <row r="171" spans="2:20" s="74" customFormat="1" x14ac:dyDescent="0.2">
      <c r="C171" s="74">
        <v>10</v>
      </c>
      <c r="D171" s="74">
        <v>7.1</v>
      </c>
      <c r="E171" s="114">
        <f t="shared" ref="E171" ca="1" si="101">INDIRECT("a_" &amp; i) * t^3 + INDIRECT("b_" &amp; i) * t^2 + INDIRECT("c_" &amp; i) * t^1 + INDIRECT("d_" &amp; i)</f>
        <v>2.3502569016597696E-2</v>
      </c>
      <c r="F171" s="117" t="s">
        <v>322</v>
      </c>
      <c r="R171" s="120">
        <f t="array" aca="1" ref="R171" ca="1">E171:E471</f>
        <v>2.3502569016597696E-2</v>
      </c>
      <c r="S171" s="121">
        <f t="shared" ca="1" si="95"/>
        <v>4.1723210810631012E-3</v>
      </c>
      <c r="T171" s="121">
        <f t="shared" ca="1" si="97"/>
        <v>0.22203916342547322</v>
      </c>
    </row>
    <row r="172" spans="2:20" s="74" customFormat="1" x14ac:dyDescent="0.2">
      <c r="C172" s="74">
        <v>10</v>
      </c>
      <c r="D172" s="74">
        <v>7.2</v>
      </c>
      <c r="E172" s="114">
        <f t="shared" ref="E172" ca="1" si="102">INDIRECT("a_" &amp; i) * t^3 + INDIRECT("b_" &amp; i) * t^2 + INDIRECT("c_" &amp; i) * t^1 + INDIRECT("d_" &amp; i)</f>
        <v>2.3914680443427698E-2</v>
      </c>
      <c r="F172" s="117" t="s">
        <v>322</v>
      </c>
      <c r="R172" s="120">
        <f t="array" aca="1" ref="R172" ca="1">E172:E472</f>
        <v>2.3914680443427698E-2</v>
      </c>
      <c r="S172" s="121">
        <f t="shared" ca="1" si="95"/>
        <v>4.1211142682999946E-3</v>
      </c>
      <c r="T172" s="121">
        <f t="shared" ca="1" si="97"/>
        <v>-5.1206812763106367E-4</v>
      </c>
    </row>
    <row r="173" spans="2:20" s="74" customFormat="1" x14ac:dyDescent="0.2">
      <c r="C173" s="74">
        <v>10</v>
      </c>
      <c r="D173" s="74">
        <v>7.3</v>
      </c>
      <c r="E173" s="114">
        <f t="shared" ref="E173" ca="1" si="103">INDIRECT("a_" &amp; i) * t^3 + INDIRECT("b_" &amp; i) * t^2 + INDIRECT("c_" &amp; i) * t^1 + INDIRECT("d_" &amp; i)</f>
        <v>2.4321356116057149E-2</v>
      </c>
      <c r="F173" s="117" t="s">
        <v>322</v>
      </c>
      <c r="R173" s="120">
        <f t="array" aca="1" ref="R173" ca="1">E173:E473</f>
        <v>2.4321356116057149E-2</v>
      </c>
      <c r="S173" s="121">
        <f t="shared" ca="1" si="95"/>
        <v>4.0667567262945232E-3</v>
      </c>
      <c r="T173" s="121">
        <f t="shared" ca="1" si="97"/>
        <v>-5.4357542005471619E-4</v>
      </c>
    </row>
    <row r="174" spans="2:20" s="74" customFormat="1" x14ac:dyDescent="0.2">
      <c r="C174" s="74">
        <v>10</v>
      </c>
      <c r="D174" s="74">
        <v>7.4</v>
      </c>
      <c r="E174" s="114">
        <f t="shared" ref="E174" ca="1" si="104">INDIRECT("a_" &amp; i) * t^3 + INDIRECT("b_" &amp; i) * t^2 + INDIRECT("c_" &amp; i) * t^1 + INDIRECT("d_" &amp; i)</f>
        <v>2.4722280961561809E-2</v>
      </c>
      <c r="F174" s="117" t="s">
        <v>322</v>
      </c>
      <c r="R174" s="120">
        <f t="array" aca="1" ref="R174" ca="1">E174:E474</f>
        <v>2.4722280961561809E-2</v>
      </c>
      <c r="S174" s="121">
        <f t="shared" ca="1" si="95"/>
        <v>4.0092484550465759E-3</v>
      </c>
      <c r="T174" s="121">
        <f t="shared" ca="1" si="97"/>
        <v>-5.7508271247946928E-4</v>
      </c>
    </row>
    <row r="175" spans="2:20" s="74" customFormat="1" x14ac:dyDescent="0.2">
      <c r="C175" s="74">
        <v>10</v>
      </c>
      <c r="D175" s="74">
        <v>7.5</v>
      </c>
      <c r="E175" s="114">
        <f t="shared" ref="E175" ca="1" si="105">INDIRECT("a_" &amp; i) * t^3 + INDIRECT("b_" &amp; i) * t^2 + INDIRECT("c_" &amp; i) * t^1 + INDIRECT("d_" &amp; i)</f>
        <v>2.5117139907017437E-2</v>
      </c>
      <c r="F175" s="117" t="s">
        <v>322</v>
      </c>
      <c r="R175" s="120">
        <f t="array" aca="1" ref="R175" ca="1">E175:E475</f>
        <v>2.5117139907017437E-2</v>
      </c>
      <c r="S175" s="121">
        <f t="shared" ca="1" si="95"/>
        <v>3.9485894545562977E-3</v>
      </c>
      <c r="T175" s="121">
        <f t="shared" ca="1" si="97"/>
        <v>-6.0659000490278408E-4</v>
      </c>
    </row>
    <row r="176" spans="2:20" s="74" customFormat="1" x14ac:dyDescent="0.2">
      <c r="C176" s="74">
        <v>10</v>
      </c>
      <c r="D176" s="74">
        <v>7.6</v>
      </c>
      <c r="E176" s="114">
        <f t="shared" ref="E176" ca="1" si="106">INDIRECT("a_" &amp; i) * t^3 + INDIRECT("b_" &amp; i) * t^2 + INDIRECT("c_" &amp; i) * t^1 + INDIRECT("d_" &amp; i)</f>
        <v>2.5505617879499797E-2</v>
      </c>
      <c r="F176" s="117" t="s">
        <v>322</v>
      </c>
      <c r="R176" s="120">
        <f t="array" aca="1" ref="R176" ca="1">E176:E476</f>
        <v>2.5505617879499797E-2</v>
      </c>
      <c r="S176" s="121">
        <f t="shared" ca="1" si="95"/>
        <v>3.8847797248236157E-3</v>
      </c>
      <c r="T176" s="121">
        <f t="shared" ca="1" si="97"/>
        <v>-6.3809729732682236E-4</v>
      </c>
    </row>
    <row r="177" spans="3:20" s="74" customFormat="1" x14ac:dyDescent="0.2">
      <c r="C177" s="74">
        <v>10</v>
      </c>
      <c r="D177" s="74">
        <v>7.7</v>
      </c>
      <c r="E177" s="114">
        <f t="shared" ref="E177" ca="1" si="107">INDIRECT("a_" &amp; i) * t^3 + INDIRECT("b_" &amp; i) * t^2 + INDIRECT("c_" &amp; i) * t^1 + INDIRECT("d_" &amp; i)</f>
        <v>2.5887399806084638E-2</v>
      </c>
      <c r="F177" s="117" t="s">
        <v>322</v>
      </c>
      <c r="R177" s="120">
        <f t="array" aca="1" ref="R177" ca="1">E177:E477</f>
        <v>2.5887399806084638E-2</v>
      </c>
      <c r="S177" s="121">
        <f t="shared" ca="1" si="95"/>
        <v>3.8178192658483924E-3</v>
      </c>
      <c r="T177" s="121">
        <f t="shared" ca="1" si="97"/>
        <v>-6.6960458975222944E-4</v>
      </c>
    </row>
    <row r="178" spans="3:20" s="74" customFormat="1" x14ac:dyDescent="0.2">
      <c r="C178" s="74">
        <v>10</v>
      </c>
      <c r="D178" s="74">
        <v>7.8</v>
      </c>
      <c r="E178" s="114">
        <f t="shared" ref="E178" ca="1" si="108">INDIRECT("a_" &amp; i) * t^3 + INDIRECT("b_" &amp; i) * t^2 + INDIRECT("c_" &amp; i) * t^1 + INDIRECT("d_" &amp; i)</f>
        <v>2.6262170613847721E-2</v>
      </c>
      <c r="F178" s="117" t="s">
        <v>322</v>
      </c>
      <c r="R178" s="120">
        <f t="array" aca="1" ref="R178" ca="1">E178:E478</f>
        <v>2.6262170613847721E-2</v>
      </c>
      <c r="S178" s="121">
        <f t="shared" ca="1" si="95"/>
        <v>3.7477080776308343E-3</v>
      </c>
      <c r="T178" s="121">
        <f t="shared" ca="1" si="97"/>
        <v>-7.0111188217558413E-4</v>
      </c>
    </row>
    <row r="179" spans="3:20" s="74" customFormat="1" x14ac:dyDescent="0.2">
      <c r="C179" s="74">
        <v>10</v>
      </c>
      <c r="D179" s="74">
        <v>7.9</v>
      </c>
      <c r="E179" s="114">
        <f t="shared" ref="E179" ca="1" si="109">INDIRECT("a_" &amp; i) * t^3 + INDIRECT("b_" &amp; i) * t^2 + INDIRECT("c_" &amp; i) * t^1 + INDIRECT("d_" &amp; i)</f>
        <v>2.6629615229864814E-2</v>
      </c>
      <c r="F179" s="117" t="s">
        <v>322</v>
      </c>
      <c r="R179" s="120">
        <f t="array" aca="1" ref="R179" ca="1">E179:E479</f>
        <v>2.6629615229864814E-2</v>
      </c>
      <c r="S179" s="121">
        <f t="shared" ca="1" si="95"/>
        <v>3.6744461601709104E-3</v>
      </c>
      <c r="T179" s="121">
        <f t="shared" ca="1" si="97"/>
        <v>-7.3261917459923427E-4</v>
      </c>
    </row>
    <row r="180" spans="3:20" s="74" customFormat="1" x14ac:dyDescent="0.2">
      <c r="C180" s="74">
        <v>10</v>
      </c>
      <c r="D180" s="74">
        <v>8</v>
      </c>
      <c r="E180" s="114">
        <f t="shared" ref="E180" ca="1" si="110">INDIRECT("a_" &amp; i) * t^3 + INDIRECT("b_" &amp; i) * t^2 + INDIRECT("c_" &amp; i) * t^1 + INDIRECT("d_" &amp; i)</f>
        <v>2.698941858121166E-2</v>
      </c>
      <c r="F180" s="117" t="s">
        <v>322</v>
      </c>
      <c r="R180" s="120">
        <f t="array" aca="1" ref="R180" ca="1">E180:E480</f>
        <v>2.698941858121166E-2</v>
      </c>
      <c r="S180" s="121">
        <f t="shared" ca="1" si="95"/>
        <v>3.5980335134684753E-3</v>
      </c>
      <c r="T180" s="121">
        <f t="shared" ca="1" si="97"/>
        <v>-7.6412646702435458E-4</v>
      </c>
    </row>
    <row r="181" spans="3:20" s="74" customFormat="1" x14ac:dyDescent="0.2">
      <c r="C181" s="74">
        <v>10</v>
      </c>
      <c r="D181" s="74">
        <v>8.1</v>
      </c>
      <c r="E181" s="114">
        <f t="shared" ref="E181" ca="1" si="111">INDIRECT("a_" &amp; i) * t^3 + INDIRECT("b_" &amp; i) * t^2 + INDIRECT("c_" &amp; i) * t^1 + INDIRECT("d_" &amp; i)</f>
        <v>2.7341265594964033E-2</v>
      </c>
      <c r="F181" s="117" t="s">
        <v>322</v>
      </c>
      <c r="R181" s="120">
        <f t="array" aca="1" ref="R181" ca="1">E181:E481</f>
        <v>2.7341265594964033E-2</v>
      </c>
      <c r="S181" s="121">
        <f t="shared" ca="1" si="95"/>
        <v>3.5184701375237438E-3</v>
      </c>
      <c r="T181" s="121">
        <f t="shared" ca="1" si="97"/>
        <v>-7.9563375944731733E-4</v>
      </c>
    </row>
    <row r="182" spans="3:20" s="74" customFormat="1" x14ac:dyDescent="0.2">
      <c r="C182" s="74">
        <v>10</v>
      </c>
      <c r="D182" s="74">
        <v>8.1999999999999993</v>
      </c>
      <c r="E182" s="114">
        <f t="shared" ref="E182" ca="1" si="112">INDIRECT("a_" &amp; i) * t^3 + INDIRECT("b_" &amp; i) * t^2 + INDIRECT("c_" &amp; i) * t^1 + INDIRECT("d_" &amp; i)</f>
        <v>2.7684841198197672E-2</v>
      </c>
      <c r="F182" s="117" t="s">
        <v>322</v>
      </c>
      <c r="R182" s="120">
        <f t="array" aca="1" ref="R182" ca="1">E182:E482</f>
        <v>2.7684841198197672E-2</v>
      </c>
      <c r="S182" s="121">
        <f t="shared" ca="1" si="95"/>
        <v>3.4357560323364008E-3</v>
      </c>
      <c r="T182" s="121">
        <f t="shared" ca="1" si="97"/>
        <v>-8.2714105187343295E-4</v>
      </c>
    </row>
    <row r="183" spans="3:20" s="74" customFormat="1" x14ac:dyDescent="0.2">
      <c r="C183" s="74">
        <v>10</v>
      </c>
      <c r="D183" s="74">
        <v>8.3000000000000007</v>
      </c>
      <c r="E183" s="114">
        <f t="shared" ref="E183" ca="1" si="113">INDIRECT("a_" &amp; i) * t^3 + INDIRECT("b_" &amp; i) * t^2 + INDIRECT("c_" &amp; i) * t^1 + INDIRECT("d_" &amp; i)</f>
        <v>2.8019830317988357E-2</v>
      </c>
      <c r="F183" s="117" t="s">
        <v>322</v>
      </c>
      <c r="R183" s="120">
        <f t="array" aca="1" ref="R183" ca="1">E183:E483</f>
        <v>2.8019830317988357E-2</v>
      </c>
      <c r="S183" s="121">
        <f t="shared" ca="1" si="95"/>
        <v>3.3498911979068036E-3</v>
      </c>
      <c r="T183" s="121">
        <f t="shared" ca="1" si="97"/>
        <v>-8.5864834429595974E-4</v>
      </c>
    </row>
    <row r="184" spans="3:20" s="74" customFormat="1" x14ac:dyDescent="0.2">
      <c r="C184" s="74">
        <v>10</v>
      </c>
      <c r="D184" s="74">
        <v>8.4</v>
      </c>
      <c r="E184" s="114">
        <f t="shared" ref="E184" ca="1" si="114">INDIRECT("a_" &amp; i) * t^3 + INDIRECT("b_" &amp; i) * t^2 + INDIRECT("c_" &amp; i) * t^1 + INDIRECT("d_" &amp; i)</f>
        <v>2.8345917881411827E-2</v>
      </c>
      <c r="F184" s="117" t="s">
        <v>322</v>
      </c>
      <c r="R184" s="120">
        <f t="array" aca="1" ref="R184" ca="1">E184:E484</f>
        <v>2.8345917881411827E-2</v>
      </c>
      <c r="S184" s="121">
        <f t="shared" ca="1" si="95"/>
        <v>3.2608756342347145E-3</v>
      </c>
      <c r="T184" s="121">
        <f t="shared" ca="1" si="97"/>
        <v>-8.9015563672089368E-4</v>
      </c>
    </row>
    <row r="185" spans="3:20" s="74" customFormat="1" x14ac:dyDescent="0.2">
      <c r="C185" s="74">
        <v>10</v>
      </c>
      <c r="D185" s="74">
        <v>8.5</v>
      </c>
      <c r="E185" s="114">
        <f t="shared" ref="E185" ca="1" si="115">INDIRECT("a_" &amp; i) * t^3 + INDIRECT("b_" &amp; i) * t^2 + INDIRECT("c_" &amp; i) * t^1 + INDIRECT("d_" &amp; i)</f>
        <v>2.8662788815543856E-2</v>
      </c>
      <c r="F185" s="117" t="s">
        <v>322</v>
      </c>
      <c r="R185" s="120">
        <f t="array" aca="1" ref="R185" ca="1">E185:E485</f>
        <v>2.8662788815543856E-2</v>
      </c>
      <c r="S185" s="121">
        <f t="shared" ca="1" si="95"/>
        <v>3.1687093413203015E-3</v>
      </c>
      <c r="T185" s="121">
        <f t="shared" ca="1" si="97"/>
        <v>-9.2166292914413399E-4</v>
      </c>
    </row>
    <row r="186" spans="3:20" s="74" customFormat="1" x14ac:dyDescent="0.2">
      <c r="C186" s="74">
        <v>10</v>
      </c>
      <c r="D186" s="74">
        <v>8.6</v>
      </c>
      <c r="E186" s="114">
        <f t="shared" ref="E186" ca="1" si="116">INDIRECT("a_" &amp; i) * t^3 + INDIRECT("b_" &amp; i) * t^2 + INDIRECT("c_" &amp; i) * t^1 + INDIRECT("d_" &amp; i)</f>
        <v>2.89701280474602E-2</v>
      </c>
      <c r="F186" s="117" t="s">
        <v>322</v>
      </c>
      <c r="R186" s="120">
        <f t="array" aca="1" ref="R186" ca="1">E186:E486</f>
        <v>2.89701280474602E-2</v>
      </c>
      <c r="S186" s="121">
        <f t="shared" ca="1" si="95"/>
        <v>3.0733923191634508E-3</v>
      </c>
      <c r="T186" s="121">
        <f t="shared" ca="1" si="97"/>
        <v>-9.5317022156851054E-4</v>
      </c>
    </row>
    <row r="187" spans="3:20" s="74" customFormat="1" x14ac:dyDescent="0.2">
      <c r="C187" s="74">
        <v>10</v>
      </c>
      <c r="D187" s="74">
        <v>8.6999999999999993</v>
      </c>
      <c r="E187" s="114">
        <f t="shared" ref="E187" ca="1" si="117">INDIRECT("a_" &amp; i) * t^3 + INDIRECT("b_" &amp; i) * t^2 + INDIRECT("c_" &amp; i) * t^1 + INDIRECT("d_" &amp; i)</f>
        <v>2.9267620504236602E-2</v>
      </c>
      <c r="F187" s="117" t="s">
        <v>322</v>
      </c>
      <c r="R187" s="120">
        <f t="array" aca="1" ref="R187" ca="1">E187:E487</f>
        <v>2.9267620504236602E-2</v>
      </c>
      <c r="S187" s="121">
        <f t="shared" ca="1" si="95"/>
        <v>2.9749245677640236E-3</v>
      </c>
      <c r="T187" s="121">
        <f t="shared" ca="1" si="97"/>
        <v>-9.8467751399427487E-4</v>
      </c>
    </row>
    <row r="188" spans="3:20" s="74" customFormat="1" x14ac:dyDescent="0.2">
      <c r="C188" s="74">
        <v>10</v>
      </c>
      <c r="D188" s="74">
        <v>8.8000000000000007</v>
      </c>
      <c r="E188" s="114">
        <f t="shared" ref="E188" ca="1" si="118">INDIRECT("a_" &amp; i) * t^3 + INDIRECT("b_" &amp; i) * t^2 + INDIRECT("c_" &amp; i) * t^1 + INDIRECT("d_" &amp; i)</f>
        <v>2.9554951112948841E-2</v>
      </c>
      <c r="F188" s="117" t="s">
        <v>322</v>
      </c>
      <c r="R188" s="120">
        <f t="array" aca="1" ref="R188" ca="1">E188:E488</f>
        <v>2.9554951112948841E-2</v>
      </c>
      <c r="S188" s="121">
        <f t="shared" ca="1" si="95"/>
        <v>2.873306087122351E-3</v>
      </c>
      <c r="T188" s="121">
        <f t="shared" ca="1" si="97"/>
        <v>-1.0161848064167121E-3</v>
      </c>
    </row>
    <row r="189" spans="3:20" s="74" customFormat="1" x14ac:dyDescent="0.2">
      <c r="C189" s="74">
        <v>10</v>
      </c>
      <c r="D189" s="74">
        <v>8.9</v>
      </c>
      <c r="E189" s="114">
        <f t="shared" ref="E189" ca="1" si="119">INDIRECT("a_" &amp; i) * t^3 + INDIRECT("b_" &amp; i) * t^2 + INDIRECT("c_" &amp; i) * t^1 + INDIRECT("d_" &amp; i)</f>
        <v>2.9831804800672674E-2</v>
      </c>
      <c r="F189" s="117" t="s">
        <v>322</v>
      </c>
      <c r="R189" s="120">
        <f t="array" aca="1" ref="R189" ca="1">E189:E489</f>
        <v>2.9831804800672674E-2</v>
      </c>
      <c r="S189" s="121">
        <f t="shared" ca="1" si="95"/>
        <v>2.7685368772383426E-3</v>
      </c>
      <c r="T189" s="121">
        <f t="shared" ca="1" si="97"/>
        <v>-1.0476920988400876E-3</v>
      </c>
    </row>
    <row r="190" spans="3:20" s="74" customFormat="1" x14ac:dyDescent="0.2">
      <c r="C190" s="74">
        <v>10</v>
      </c>
      <c r="D190" s="74">
        <v>9</v>
      </c>
      <c r="E190" s="114">
        <f t="shared" ref="E190" ca="1" si="120">INDIRECT("a_" &amp; i) * t^3 + INDIRECT("b_" &amp; i) * t^2 + INDIRECT("c_" &amp; i) * t^1 + INDIRECT("d_" &amp; i)</f>
        <v>3.009786649448384E-2</v>
      </c>
      <c r="F190" s="117" t="s">
        <v>322</v>
      </c>
      <c r="R190" s="120">
        <f t="array" aca="1" ref="R190" ca="1">E190:E490</f>
        <v>3.009786649448384E-2</v>
      </c>
      <c r="S190" s="121">
        <f t="shared" ca="1" si="95"/>
        <v>2.6606169381116719E-3</v>
      </c>
      <c r="T190" s="121">
        <f t="shared" ca="1" si="97"/>
        <v>-1.0791993912667107E-3</v>
      </c>
    </row>
    <row r="191" spans="3:20" s="74" customFormat="1" x14ac:dyDescent="0.2">
      <c r="C191" s="74">
        <v>10</v>
      </c>
      <c r="D191" s="74">
        <v>9.1</v>
      </c>
      <c r="E191" s="114">
        <f t="shared" ref="E191" ca="1" si="121">INDIRECT("a_" &amp; i) * t^3 + INDIRECT("b_" &amp; i) * t^2 + INDIRECT("c_" &amp; i) * t^1 + INDIRECT("d_" &amp; i)</f>
        <v>3.035282112145811E-2</v>
      </c>
      <c r="F191" s="117" t="s">
        <v>322</v>
      </c>
      <c r="R191" s="120">
        <f t="array" aca="1" ref="R191" ca="1">E191:E491</f>
        <v>3.035282112145811E-2</v>
      </c>
      <c r="S191" s="121">
        <f t="shared" ca="1" si="95"/>
        <v>2.5495462697427023E-3</v>
      </c>
      <c r="T191" s="121">
        <f t="shared" ca="1" si="97"/>
        <v>-1.1107066836896994E-3</v>
      </c>
    </row>
    <row r="192" spans="3:20" s="74" customFormat="1" x14ac:dyDescent="0.2">
      <c r="C192" s="74">
        <v>10</v>
      </c>
      <c r="D192" s="74">
        <v>9.1999999999999993</v>
      </c>
      <c r="E192" s="114">
        <f t="shared" ref="E192" ca="1" si="122">INDIRECT("a_" &amp; i) * t^3 + INDIRECT("b_" &amp; i) * t^2 + INDIRECT("c_" &amp; i) * t^1 + INDIRECT("d_" &amp; i)</f>
        <v>3.0596353608671242E-2</v>
      </c>
      <c r="F192" s="117" t="s">
        <v>322</v>
      </c>
      <c r="R192" s="120">
        <f t="array" aca="1" ref="R192" ca="1">E192:E492</f>
        <v>3.0596353608671242E-2</v>
      </c>
      <c r="S192" s="121">
        <f t="shared" ca="1" si="95"/>
        <v>2.4353248721313298E-3</v>
      </c>
      <c r="T192" s="121">
        <f t="shared" ca="1" si="97"/>
        <v>-1.1422139761137291E-3</v>
      </c>
    </row>
    <row r="193" spans="2:20" s="74" customFormat="1" x14ac:dyDescent="0.2">
      <c r="C193" s="74">
        <v>10</v>
      </c>
      <c r="D193" s="74">
        <v>9.3000000000000007</v>
      </c>
      <c r="E193" s="114">
        <f t="shared" ref="E193" ca="1" si="123">INDIRECT("a_" &amp; i) * t^3 + INDIRECT("b_" &amp; i) * t^2 + INDIRECT("c_" &amp; i) * t^1 + INDIRECT("d_" &amp; i)</f>
        <v>3.0828148883198993E-2</v>
      </c>
      <c r="F193" s="117" t="s">
        <v>322</v>
      </c>
      <c r="R193" s="120">
        <f t="array" aca="1" ref="R193" ca="1">E193:E493</f>
        <v>3.0828148883198993E-2</v>
      </c>
      <c r="S193" s="121">
        <f t="shared" ca="1" si="95"/>
        <v>2.3179527452774785E-3</v>
      </c>
      <c r="T193" s="121">
        <f t="shared" ca="1" si="97"/>
        <v>-1.1737212685384967E-3</v>
      </c>
    </row>
    <row r="194" spans="2:20" s="74" customFormat="1" x14ac:dyDescent="0.2">
      <c r="C194" s="74">
        <v>10</v>
      </c>
      <c r="D194" s="74">
        <v>9.4</v>
      </c>
      <c r="E194" s="114">
        <f t="shared" ref="E194" ca="1" si="124">INDIRECT("a_" &amp; i) * t^3 + INDIRECT("b_" &amp; i) * t^2 + INDIRECT("c_" &amp; i) * t^1 + INDIRECT("d_" &amp; i)</f>
        <v>3.104789187211713E-2</v>
      </c>
      <c r="F194" s="117" t="s">
        <v>322</v>
      </c>
      <c r="R194" s="120">
        <f t="array" aca="1" ref="R194" ca="1">E194:E494</f>
        <v>3.104789187211713E-2</v>
      </c>
      <c r="S194" s="121">
        <f t="shared" ca="1" si="95"/>
        <v>2.197429889181376E-3</v>
      </c>
      <c r="T194" s="121">
        <f t="shared" ca="1" si="97"/>
        <v>-1.2052285609610294E-3</v>
      </c>
    </row>
    <row r="195" spans="2:20" s="74" customFormat="1" x14ac:dyDescent="0.2">
      <c r="C195" s="74">
        <v>10</v>
      </c>
      <c r="D195" s="74">
        <v>9.5</v>
      </c>
      <c r="E195" s="114">
        <f t="shared" ref="E195" ca="1" si="125">INDIRECT("a_" &amp; i) * t^3 + INDIRECT("b_" &amp; i) * t^2 + INDIRECT("c_" &amp; i) * t^1 + INDIRECT("d_" &amp; i)</f>
        <v>3.1255267502501405E-2</v>
      </c>
      <c r="F195" s="117" t="s">
        <v>322</v>
      </c>
      <c r="R195" s="120">
        <f t="array" aca="1" ref="R195" ca="1">E195:E495</f>
        <v>3.1255267502501405E-2</v>
      </c>
      <c r="S195" s="121">
        <f t="shared" ca="1" si="95"/>
        <v>2.0737563038427599E-3</v>
      </c>
      <c r="T195" s="121">
        <f t="shared" ca="1" si="97"/>
        <v>-1.2367358533861648E-3</v>
      </c>
    </row>
    <row r="196" spans="2:20" s="74" customFormat="1" x14ac:dyDescent="0.2">
      <c r="C196" s="74">
        <v>10</v>
      </c>
      <c r="D196" s="74">
        <v>9.6</v>
      </c>
      <c r="E196" s="114">
        <f t="shared" ref="E196" ca="1" si="126">INDIRECT("a_" &amp; i) * t^3 + INDIRECT("b_" &amp; i) * t^2 + INDIRECT("c_" &amp; i) * t^1 + INDIRECT("d_" &amp; i)</f>
        <v>3.1449960701427568E-2</v>
      </c>
      <c r="F196" s="117" t="s">
        <v>322</v>
      </c>
      <c r="R196" s="120">
        <f t="array" aca="1" ref="R196" ca="1">E196:E496</f>
        <v>3.1449960701427568E-2</v>
      </c>
      <c r="S196" s="121">
        <f t="shared" ca="1" si="95"/>
        <v>1.9469319892616369E-3</v>
      </c>
      <c r="T196" s="121">
        <f t="shared" ca="1" si="97"/>
        <v>-1.2682431458112353E-3</v>
      </c>
    </row>
    <row r="197" spans="2:20" s="74" customFormat="1" x14ac:dyDescent="0.2">
      <c r="C197" s="74">
        <v>10</v>
      </c>
      <c r="D197" s="74">
        <v>9.6999999999999993</v>
      </c>
      <c r="E197" s="114">
        <f t="shared" ref="E197" ca="1" si="127">INDIRECT("a_" &amp; i) * t^3 + INDIRECT("b_" &amp; i) * t^2 + INDIRECT("c_" &amp; i) * t^1 + INDIRECT("d_" &amp; i)</f>
        <v>3.1631656395971389E-2</v>
      </c>
      <c r="F197" s="117" t="s">
        <v>322</v>
      </c>
      <c r="R197" s="120">
        <f t="array" aca="1" ref="R197" ca="1">E197:E497</f>
        <v>3.1631656395971389E-2</v>
      </c>
      <c r="S197" s="121">
        <f t="shared" ca="1" si="95"/>
        <v>1.8169569454382149E-3</v>
      </c>
      <c r="T197" s="121">
        <f t="shared" ca="1" si="97"/>
        <v>-1.299750438234224E-3</v>
      </c>
    </row>
    <row r="198" spans="2:20" s="74" customFormat="1" x14ac:dyDescent="0.2">
      <c r="C198" s="74">
        <v>10</v>
      </c>
      <c r="D198" s="74">
        <v>9.8000000000000007</v>
      </c>
      <c r="E198" s="114">
        <f t="shared" ref="E198" ca="1" si="128">INDIRECT("a_" &amp; i) * t^3 + INDIRECT("b_" &amp; i) * t^2 + INDIRECT("c_" &amp; i) * t^1 + INDIRECT("d_" &amp; i)</f>
        <v>3.1800039513208617E-2</v>
      </c>
      <c r="F198" s="117" t="s">
        <v>322</v>
      </c>
      <c r="R198" s="120">
        <f t="array" aca="1" ref="R198" ca="1">E198:E498</f>
        <v>3.1800039513208617E-2</v>
      </c>
      <c r="S198" s="121">
        <f t="shared" ca="1" si="95"/>
        <v>1.683831172372256E-3</v>
      </c>
      <c r="T198" s="121">
        <f t="shared" ca="1" si="97"/>
        <v>-1.3312577306595701E-3</v>
      </c>
    </row>
    <row r="199" spans="2:20" s="74" customFormat="1" x14ac:dyDescent="0.2">
      <c r="C199" s="74">
        <v>10</v>
      </c>
      <c r="D199" s="74">
        <v>9.9</v>
      </c>
      <c r="E199" s="114">
        <f t="shared" ref="E199" ca="1" si="129">INDIRECT("a_" &amp; i) * t^3 + INDIRECT("b_" &amp; i) * t^2 + INDIRECT("c_" &amp; i) * t^1 + INDIRECT("d_" &amp; i)</f>
        <v>3.1954794980215015E-2</v>
      </c>
      <c r="F199" s="117" t="s">
        <v>322</v>
      </c>
      <c r="R199" s="120">
        <f t="array" aca="1" ref="R199" ca="1">E199:E499</f>
        <v>3.1954794980215015E-2</v>
      </c>
      <c r="S199" s="121">
        <f t="shared" ca="1" si="95"/>
        <v>1.5475546700639885E-3</v>
      </c>
      <c r="T199" s="121">
        <f t="shared" ca="1" si="97"/>
        <v>-1.36276502308268E-3</v>
      </c>
    </row>
    <row r="200" spans="2:20" s="74" customFormat="1" x14ac:dyDescent="0.2">
      <c r="B200" s="74">
        <v>10</v>
      </c>
      <c r="C200" s="74">
        <v>30</v>
      </c>
      <c r="D200" s="74">
        <v>10</v>
      </c>
      <c r="E200" s="114">
        <f t="shared" ref="E200" ca="1" si="130">INDIRECT("a_" &amp; i) * t^3 + INDIRECT("b_" &amp; i) * t^2 + INDIRECT("c_" &amp; i) * t^1 + INDIRECT("d_" &amp; i)</f>
        <v>3.3252768995313382E-2</v>
      </c>
      <c r="F200" s="117">
        <v>6.7430707199999995E-2</v>
      </c>
      <c r="G200" s="117">
        <f ca="1">F200-E200</f>
        <v>3.4177938204686613E-2</v>
      </c>
      <c r="H200" s="117">
        <f ca="1">INDIRECT("a_" &amp; i_1) * t^3 + INDIRECT("b_" &amp; i_1) * t^2 + INDIRECT("c_" &amp; i_1) * t^1 + INDIRECT("d_" &amp; i_1)</f>
        <v>3.2095607724066347E-2</v>
      </c>
      <c r="I200" s="117">
        <f ca="1">H200-E200</f>
        <v>-1.1571612712470355E-3</v>
      </c>
      <c r="K200" s="119"/>
      <c r="Q200" s="119"/>
      <c r="R200" s="120">
        <f t="array" aca="1" ref="R200" ca="1">E200:E500</f>
        <v>3.3252768995313382E-2</v>
      </c>
      <c r="S200" s="121">
        <f t="shared" ca="1" si="95"/>
        <v>1.297974015098372E-2</v>
      </c>
      <c r="T200" s="121">
        <f t="shared" ca="1" si="97"/>
        <v>0.11432185480919772</v>
      </c>
    </row>
    <row r="201" spans="2:20" s="74" customFormat="1" x14ac:dyDescent="0.2">
      <c r="C201" s="74">
        <v>30</v>
      </c>
      <c r="D201" s="74">
        <v>10.1</v>
      </c>
      <c r="E201" s="114">
        <f t="shared" ref="E201" ca="1" si="131">INDIRECT("a_" &amp; i) * t^3 + INDIRECT("b_" &amp; i) * t^2 + INDIRECT("c_" &amp; i) * t^1 + INDIRECT("d_" &amp; i)</f>
        <v>3.5723712483732635E-2</v>
      </c>
      <c r="F201" s="117" t="s">
        <v>322</v>
      </c>
      <c r="R201" s="120">
        <f t="array" aca="1" ref="R201" ca="1">E201:E501</f>
        <v>3.5723712483732635E-2</v>
      </c>
      <c r="S201" s="121">
        <f t="shared" ca="1" si="95"/>
        <v>2.4709434884192614E-2</v>
      </c>
      <c r="T201" s="121">
        <f t="shared" ca="1" si="97"/>
        <v>0.11729694733208935</v>
      </c>
    </row>
    <row r="202" spans="2:20" s="74" customFormat="1" x14ac:dyDescent="0.2">
      <c r="C202" s="74">
        <v>30</v>
      </c>
      <c r="D202" s="74">
        <v>10.199999999999999</v>
      </c>
      <c r="E202" s="114">
        <f t="shared" ref="E202" ca="1" si="132">INDIRECT("a_" &amp; i) * t^3 + INDIRECT("b_" &amp; i) * t^2 + INDIRECT("c_" &amp; i) * t^1 + INDIRECT("d_" &amp; i)</f>
        <v>3.8214451788676336E-2</v>
      </c>
      <c r="F202" s="117" t="s">
        <v>322</v>
      </c>
      <c r="R202" s="120">
        <f t="array" aca="1" ref="R202" ca="1">E202:E502</f>
        <v>3.8214451788676336E-2</v>
      </c>
      <c r="S202" s="121">
        <f t="shared" ca="1" si="95"/>
        <v>2.49073930494371E-2</v>
      </c>
      <c r="T202" s="121">
        <f t="shared" ca="1" si="97"/>
        <v>1.9795816524448701E-3</v>
      </c>
    </row>
    <row r="203" spans="2:20" s="74" customFormat="1" x14ac:dyDescent="0.2">
      <c r="C203" s="74">
        <v>30</v>
      </c>
      <c r="D203" s="74">
        <v>10.3</v>
      </c>
      <c r="E203" s="114">
        <f t="shared" ref="E203" ca="1" si="133">INDIRECT("a_" &amp; i) * t^3 + INDIRECT("b_" &amp; i) * t^2 + INDIRECT("c_" &amp; i) * t^1 + INDIRECT("d_" &amp; i)</f>
        <v>4.0724345634054922E-2</v>
      </c>
      <c r="F203" s="117" t="s">
        <v>322</v>
      </c>
      <c r="R203" s="120">
        <f t="array" aca="1" ref="R203" ca="1">E203:E503</f>
        <v>4.0724345634054922E-2</v>
      </c>
      <c r="S203" s="121">
        <f t="shared" ca="1" si="95"/>
        <v>2.50989384537855E-2</v>
      </c>
      <c r="T203" s="121">
        <f t="shared" ca="1" si="97"/>
        <v>1.9154540434839708E-3</v>
      </c>
    </row>
    <row r="204" spans="2:20" s="74" customFormat="1" x14ac:dyDescent="0.2">
      <c r="C204" s="74">
        <v>30</v>
      </c>
      <c r="D204" s="74">
        <v>10.4</v>
      </c>
      <c r="E204" s="114">
        <f t="shared" ref="E204" ca="1" si="134">INDIRECT("a_" &amp; i) * t^3 + INDIRECT("b_" &amp; i) * t^2 + INDIRECT("c_" &amp; i) * t^1 + INDIRECT("d_" &amp; i)</f>
        <v>4.3252752743779162E-2</v>
      </c>
      <c r="F204" s="117" t="s">
        <v>322</v>
      </c>
      <c r="R204" s="120">
        <f t="array" aca="1" ref="R204" ca="1">E204:E504</f>
        <v>4.3252752743779162E-2</v>
      </c>
      <c r="S204" s="121">
        <f t="shared" ca="1" si="95"/>
        <v>2.528407109724249E-2</v>
      </c>
      <c r="T204" s="121">
        <f t="shared" ca="1" si="97"/>
        <v>1.8513264345699078E-3</v>
      </c>
    </row>
    <row r="205" spans="2:20" s="74" customFormat="1" x14ac:dyDescent="0.2">
      <c r="C205" s="74">
        <v>30</v>
      </c>
      <c r="D205" s="74">
        <v>10.5</v>
      </c>
      <c r="E205" s="114">
        <f t="shared" ref="E205" ca="1" si="135">INDIRECT("a_" &amp; i) * t^3 + INDIRECT("b_" &amp; i) * t^2 + INDIRECT("c_" &amp; i) * t^1 + INDIRECT("d_" &amp; i)</f>
        <v>4.5799031841759603E-2</v>
      </c>
      <c r="F205" s="117" t="s">
        <v>322</v>
      </c>
      <c r="R205" s="120">
        <f t="array" aca="1" ref="R205" ca="1">E205:E505</f>
        <v>4.5799031841759603E-2</v>
      </c>
      <c r="S205" s="121">
        <f t="shared" ca="1" si="95"/>
        <v>2.5462790979804507E-2</v>
      </c>
      <c r="T205" s="121">
        <f t="shared" ca="1" si="97"/>
        <v>1.7871988256201795E-3</v>
      </c>
    </row>
    <row r="206" spans="2:20" s="74" customFormat="1" x14ac:dyDescent="0.2">
      <c r="C206" s="74">
        <v>30</v>
      </c>
      <c r="D206" s="74">
        <v>10.6</v>
      </c>
      <c r="E206" s="114">
        <f t="shared" ref="E206" ca="1" si="136">INDIRECT("a_" &amp; i) * t^3 + INDIRECT("b_" &amp; i) * t^2 + INDIRECT("c_" &amp; i) * t^1 + INDIRECT("d_" &amp; i)</f>
        <v>4.8362541651906961E-2</v>
      </c>
      <c r="F206" s="117" t="s">
        <v>322</v>
      </c>
      <c r="R206" s="120">
        <f t="array" aca="1" ref="R206" ca="1">E206:E506</f>
        <v>4.8362541651906961E-2</v>
      </c>
      <c r="S206" s="121">
        <f t="shared" ca="1" si="95"/>
        <v>2.5635098101473665E-2</v>
      </c>
      <c r="T206" s="121">
        <f t="shared" ca="1" si="97"/>
        <v>1.7230712166915801E-3</v>
      </c>
    </row>
    <row r="207" spans="2:20" s="74" customFormat="1" x14ac:dyDescent="0.2">
      <c r="C207" s="74">
        <v>30</v>
      </c>
      <c r="D207" s="74">
        <v>10.7</v>
      </c>
      <c r="E207" s="114">
        <f t="shared" ref="E207" ca="1" si="137">INDIRECT("a_" &amp; i) * t^3 + INDIRECT("b_" &amp; i) * t^2 + INDIRECT("c_" &amp; i) * t^1 + INDIRECT("d_" &amp; i)</f>
        <v>5.0942640898131726E-2</v>
      </c>
      <c r="F207" s="117" t="s">
        <v>322</v>
      </c>
      <c r="R207" s="120">
        <f t="array" aca="1" ref="R207" ca="1">E207:E507</f>
        <v>5.0942640898131726E-2</v>
      </c>
      <c r="S207" s="121">
        <f t="shared" ca="1" si="95"/>
        <v>2.5800992462247742E-2</v>
      </c>
      <c r="T207" s="121">
        <f t="shared" ca="1" si="97"/>
        <v>1.6589436077407763E-3</v>
      </c>
    </row>
    <row r="208" spans="2:20" s="74" customFormat="1" x14ac:dyDescent="0.2">
      <c r="C208" s="74">
        <v>30</v>
      </c>
      <c r="D208" s="74">
        <v>10.8</v>
      </c>
      <c r="E208" s="114">
        <f t="shared" ref="E208" ca="1" si="138">INDIRECT("a_" &amp; i) * t^3 + INDIRECT("b_" &amp; i) * t^2 + INDIRECT("c_" &amp; i) * t^1 + INDIRECT("d_" &amp; i)</f>
        <v>5.3538688304344724E-2</v>
      </c>
      <c r="F208" s="117" t="s">
        <v>322</v>
      </c>
      <c r="R208" s="120">
        <f t="array" aca="1" ref="R208" ca="1">E208:E508</f>
        <v>5.3538688304344724E-2</v>
      </c>
      <c r="S208" s="121">
        <f t="shared" ca="1" si="95"/>
        <v>2.5960474062129611E-2</v>
      </c>
      <c r="T208" s="121">
        <f t="shared" ca="1" si="97"/>
        <v>1.5948159988186711E-3</v>
      </c>
    </row>
    <row r="209" spans="3:20" s="74" customFormat="1" x14ac:dyDescent="0.2">
      <c r="C209" s="74">
        <v>30</v>
      </c>
      <c r="D209" s="74">
        <v>10.9</v>
      </c>
      <c r="E209" s="114">
        <f t="shared" ref="E209" ca="1" si="139">INDIRECT("a_" &amp; i) * t^3 + INDIRECT("b_" &amp; i) * t^2 + INDIRECT("c_" &amp; i) * t^1 + INDIRECT("d_" &amp; i)</f>
        <v>5.6150042594456447E-2</v>
      </c>
      <c r="F209" s="117" t="s">
        <v>322</v>
      </c>
      <c r="R209" s="120">
        <f t="array" aca="1" ref="R209" ca="1">E209:E509</f>
        <v>5.6150042594456447E-2</v>
      </c>
      <c r="S209" s="121">
        <f t="shared" ca="1" si="95"/>
        <v>2.611354290111732E-2</v>
      </c>
      <c r="T209" s="121">
        <f t="shared" ca="1" si="97"/>
        <v>1.5306883898770897E-3</v>
      </c>
    </row>
    <row r="210" spans="3:20" s="74" customFormat="1" x14ac:dyDescent="0.2">
      <c r="C210" s="74">
        <v>30</v>
      </c>
      <c r="D210" s="74">
        <v>11</v>
      </c>
      <c r="E210" s="114">
        <f t="shared" ref="E210" ca="1" si="140">INDIRECT("a_" &amp; i) * t^3 + INDIRECT("b_" &amp; i) * t^2 + INDIRECT("c_" &amp; i) * t^1 + INDIRECT("d_" &amp; i)</f>
        <v>5.8776062492377441E-2</v>
      </c>
      <c r="F210" s="117" t="s">
        <v>322</v>
      </c>
      <c r="R210" s="120">
        <f t="array" aca="1" ref="R210" ca="1">E210:E510</f>
        <v>5.8776062492377441E-2</v>
      </c>
      <c r="S210" s="121">
        <f t="shared" ca="1" si="95"/>
        <v>2.6260198979210041E-2</v>
      </c>
      <c r="T210" s="121">
        <f t="shared" ca="1" si="97"/>
        <v>1.4665607809272226E-3</v>
      </c>
    </row>
    <row r="211" spans="3:20" s="74" customFormat="1" x14ac:dyDescent="0.2">
      <c r="C211" s="74">
        <v>30</v>
      </c>
      <c r="D211" s="74">
        <v>11.1</v>
      </c>
      <c r="E211" s="114">
        <f t="shared" ref="E211" ca="1" si="141">INDIRECT("a_" &amp; i) * t^3 + INDIRECT("b_" &amp; i) * t^2 + INDIRECT("c_" &amp; i) * t^1 + INDIRECT("d_" &amp; i)</f>
        <v>6.1416106722018589E-2</v>
      </c>
      <c r="F211" s="117" t="s">
        <v>322</v>
      </c>
      <c r="R211" s="120">
        <f t="array" aca="1" ref="R211" ca="1">E211:E511</f>
        <v>6.1416106722018589E-2</v>
      </c>
      <c r="S211" s="121">
        <f t="shared" ca="1" si="95"/>
        <v>2.6400442296411569E-2</v>
      </c>
      <c r="T211" s="121">
        <f t="shared" ca="1" si="97"/>
        <v>1.4024331720152766E-3</v>
      </c>
    </row>
    <row r="212" spans="3:20" s="74" customFormat="1" x14ac:dyDescent="0.2">
      <c r="C212" s="74">
        <v>30</v>
      </c>
      <c r="D212" s="74">
        <v>11.2</v>
      </c>
      <c r="E212" s="114">
        <f t="shared" ref="E212" ca="1" si="142">INDIRECT("a_" &amp; i) * t^3 + INDIRECT("b_" &amp; i) * t^2 + INDIRECT("c_" &amp; i) * t^1 + INDIRECT("d_" &amp; i)</f>
        <v>6.4069534007290374E-2</v>
      </c>
      <c r="F212" s="117" t="s">
        <v>322</v>
      </c>
      <c r="R212" s="120">
        <f t="array" aca="1" ref="R212" ca="1">E212:E512</f>
        <v>6.4069534007290374E-2</v>
      </c>
      <c r="S212" s="121">
        <f t="shared" ca="1" si="95"/>
        <v>2.6534272852717946E-2</v>
      </c>
      <c r="T212" s="121">
        <f t="shared" ca="1" si="97"/>
        <v>1.3383055630637789E-3</v>
      </c>
    </row>
    <row r="213" spans="3:20" s="74" customFormat="1" x14ac:dyDescent="0.2">
      <c r="C213" s="74">
        <v>30</v>
      </c>
      <c r="D213" s="74">
        <v>11.3</v>
      </c>
      <c r="E213" s="114">
        <f t="shared" ref="E213" ca="1" si="143">INDIRECT("a_" &amp; i) * t^3 + INDIRECT("b_" &amp; i) * t^2 + INDIRECT("c_" &amp; i) * t^1 + INDIRECT("d_" &amp; i)</f>
        <v>6.6735703072103414E-2</v>
      </c>
      <c r="F213" s="117" t="s">
        <v>322</v>
      </c>
      <c r="R213" s="120">
        <f t="array" aca="1" ref="R213" ca="1">E213:E513</f>
        <v>6.6735703072103414E-2</v>
      </c>
      <c r="S213" s="121">
        <f t="shared" ca="1" si="95"/>
        <v>2.666169064813002E-2</v>
      </c>
      <c r="T213" s="121">
        <f t="shared" ca="1" si="97"/>
        <v>1.2741779541207239E-3</v>
      </c>
    </row>
    <row r="214" spans="3:20" s="74" customFormat="1" x14ac:dyDescent="0.2">
      <c r="C214" s="74">
        <v>30</v>
      </c>
      <c r="D214" s="74">
        <v>11.4</v>
      </c>
      <c r="E214" s="114">
        <f t="shared" ref="E214" ca="1" si="144">INDIRECT("a_" &amp; i) * t^3 + INDIRECT("b_" &amp; i) * t^2 + INDIRECT("c_" &amp; i) * t^1 + INDIRECT("d_" &amp; i)</f>
        <v>6.9413972640368415E-2</v>
      </c>
      <c r="F214" s="117" t="s">
        <v>322</v>
      </c>
      <c r="R214" s="120">
        <f t="array" aca="1" ref="R214" ca="1">E214:E514</f>
        <v>6.9413972640368415E-2</v>
      </c>
      <c r="S214" s="121">
        <f t="shared" ca="1" si="95"/>
        <v>2.6782695682650109E-2</v>
      </c>
      <c r="T214" s="121">
        <f t="shared" ca="1" si="97"/>
        <v>1.2100503452008903E-3</v>
      </c>
    </row>
    <row r="215" spans="3:20" s="74" customFormat="1" x14ac:dyDescent="0.2">
      <c r="C215" s="74">
        <v>30</v>
      </c>
      <c r="D215" s="74">
        <v>11.5</v>
      </c>
      <c r="E215" s="114">
        <f t="shared" ref="E215" ca="1" si="145">INDIRECT("a_" &amp; i) * t^3 + INDIRECT("b_" &amp; i) * t^2 + INDIRECT("c_" &amp; i) * t^1 + INDIRECT("d_" &amp; i)</f>
        <v>7.2103701435995926E-2</v>
      </c>
      <c r="F215" s="117" t="s">
        <v>322</v>
      </c>
      <c r="R215" s="120">
        <f t="array" aca="1" ref="R215" ca="1">E215:E515</f>
        <v>7.2103701435995926E-2</v>
      </c>
      <c r="S215" s="121">
        <f t="shared" ca="1" si="95"/>
        <v>2.6897287956275204E-2</v>
      </c>
      <c r="T215" s="121">
        <f t="shared" ca="1" si="97"/>
        <v>1.1459227362509538E-3</v>
      </c>
    </row>
    <row r="216" spans="3:20" s="74" customFormat="1" x14ac:dyDescent="0.2">
      <c r="C216" s="74">
        <v>30</v>
      </c>
      <c r="D216" s="74">
        <v>11.6</v>
      </c>
      <c r="E216" s="114">
        <f t="shared" ref="E216" ca="1" si="146">INDIRECT("a_" &amp; i) * t^3 + INDIRECT("b_" &amp; i) * t^2 + INDIRECT("c_" &amp; i) * t^1 + INDIRECT("d_" &amp; i)</f>
        <v>7.480424818289666E-2</v>
      </c>
      <c r="F216" s="117" t="s">
        <v>322</v>
      </c>
      <c r="R216" s="120">
        <f t="array" aca="1" ref="R216" ca="1">E216:E516</f>
        <v>7.480424818289666E-2</v>
      </c>
      <c r="S216" s="121">
        <f t="shared" ca="1" si="95"/>
        <v>2.7005467469007435E-2</v>
      </c>
      <c r="T216" s="121">
        <f t="shared" ca="1" si="97"/>
        <v>1.0817951273223198E-3</v>
      </c>
    </row>
    <row r="217" spans="3:20" s="74" customFormat="1" x14ac:dyDescent="0.2">
      <c r="C217" s="74">
        <v>30</v>
      </c>
      <c r="D217" s="74">
        <v>11.7</v>
      </c>
      <c r="E217" s="114">
        <f t="shared" ref="E217" ca="1" si="147">INDIRECT("a_" &amp; i) * t^3 + INDIRECT("b_" &amp; i) * t^2 + INDIRECT("c_" &amp; i) * t^1 + INDIRECT("d_" &amp; i)</f>
        <v>7.7514971604981109E-2</v>
      </c>
      <c r="F217" s="117" t="s">
        <v>322</v>
      </c>
      <c r="R217" s="120">
        <f t="array" aca="1" ref="R217" ca="1">E217:E517</f>
        <v>7.7514971604981109E-2</v>
      </c>
      <c r="S217" s="121">
        <f t="shared" ca="1" si="95"/>
        <v>2.7107234220844587E-2</v>
      </c>
      <c r="T217" s="121">
        <f t="shared" ca="1" si="97"/>
        <v>1.0176675183715159E-3</v>
      </c>
    </row>
    <row r="218" spans="3:20" s="74" customFormat="1" x14ac:dyDescent="0.2">
      <c r="C218" s="74">
        <v>30</v>
      </c>
      <c r="D218" s="74">
        <v>11.8</v>
      </c>
      <c r="E218" s="114">
        <f t="shared" ref="E218" ca="1" si="148">INDIRECT("a_" &amp; i) * t^3 + INDIRECT("b_" &amp; i) * t^2 + INDIRECT("c_" &amp; i) * t^1 + INDIRECT("d_" &amp; i)</f>
        <v>8.0235230426160042E-2</v>
      </c>
      <c r="F218" s="117" t="s">
        <v>322</v>
      </c>
      <c r="R218" s="120">
        <f t="array" aca="1" ref="R218" ca="1">E218:E518</f>
        <v>8.0235230426160042E-2</v>
      </c>
      <c r="S218" s="121">
        <f t="shared" ca="1" si="95"/>
        <v>2.7202588211788951E-2</v>
      </c>
      <c r="T218" s="121">
        <f t="shared" ca="1" si="97"/>
        <v>9.5353990944362815E-4</v>
      </c>
    </row>
    <row r="219" spans="3:20" s="74" customFormat="1" x14ac:dyDescent="0.2">
      <c r="C219" s="74">
        <v>30</v>
      </c>
      <c r="D219" s="74">
        <v>11.9</v>
      </c>
      <c r="E219" s="114">
        <f t="shared" ref="E219" ca="1" si="149">INDIRECT("a_" &amp; i) * t^3 + INDIRECT("b_" &amp; i) * t^2 + INDIRECT("c_" &amp; i) * t^1 + INDIRECT("d_" &amp; i)</f>
        <v>8.2964383370344064E-2</v>
      </c>
      <c r="F219" s="117" t="s">
        <v>322</v>
      </c>
      <c r="R219" s="120">
        <f t="array" aca="1" ref="R219" ca="1">E219:E519</f>
        <v>8.2964383370344064E-2</v>
      </c>
      <c r="S219" s="121">
        <f t="shared" ca="1" si="95"/>
        <v>2.7291529441840309E-2</v>
      </c>
      <c r="T219" s="121">
        <f t="shared" ca="1" si="97"/>
        <v>8.8941230051358853E-4</v>
      </c>
    </row>
    <row r="220" spans="3:20" s="74" customFormat="1" x14ac:dyDescent="0.2">
      <c r="C220" s="74">
        <v>30</v>
      </c>
      <c r="D220" s="74">
        <v>12</v>
      </c>
      <c r="E220" s="114">
        <f t="shared" ref="E220" ca="1" si="150">INDIRECT("a_" &amp; i) * t^3 + INDIRECT("b_" &amp; i) * t^2 + INDIRECT("c_" &amp; i) * t^1 + INDIRECT("d_" &amp; i)</f>
        <v>8.570178916144372E-2</v>
      </c>
      <c r="F220" s="117" t="s">
        <v>322</v>
      </c>
      <c r="R220" s="120">
        <f t="array" aca="1" ref="R220" ca="1">E220:E520</f>
        <v>8.570178916144372E-2</v>
      </c>
      <c r="S220" s="121">
        <f t="shared" ca="1" si="95"/>
        <v>2.737405791099666E-2</v>
      </c>
      <c r="T220" s="121">
        <f t="shared" ca="1" si="97"/>
        <v>8.2528469156351329E-4</v>
      </c>
    </row>
    <row r="221" spans="3:20" s="74" customFormat="1" x14ac:dyDescent="0.2">
      <c r="C221" s="74">
        <v>30</v>
      </c>
      <c r="D221" s="74">
        <v>12.1</v>
      </c>
      <c r="E221" s="114">
        <f t="shared" ref="E221" ca="1" si="151">INDIRECT("a_" &amp; i) * t^3 + INDIRECT("b_" &amp; i) * t^2 + INDIRECT("c_" &amp; i) * t^1 + INDIRECT("d_" &amp; i)</f>
        <v>8.844680652336967E-2</v>
      </c>
      <c r="F221" s="117" t="s">
        <v>322</v>
      </c>
      <c r="R221" s="120">
        <f t="array" aca="1" ref="R221" ca="1">E221:E521</f>
        <v>8.844680652336967E-2</v>
      </c>
      <c r="S221" s="121">
        <f t="shared" ca="1" si="95"/>
        <v>2.7450173619259596E-2</v>
      </c>
      <c r="T221" s="121">
        <f t="shared" ca="1" si="97"/>
        <v>7.6115708262936281E-4</v>
      </c>
    </row>
    <row r="222" spans="3:20" s="74" customFormat="1" x14ac:dyDescent="0.2">
      <c r="C222" s="74">
        <v>30</v>
      </c>
      <c r="D222" s="74">
        <v>12.2</v>
      </c>
      <c r="E222" s="114">
        <f t="shared" ref="E222" ca="1" si="152">INDIRECT("a_" &amp; i) * t^3 + INDIRECT("b_" &amp; i) * t^2 + INDIRECT("c_" &amp; i) * t^1 + INDIRECT("d_" &amp; i)</f>
        <v>9.1198794180032572E-2</v>
      </c>
      <c r="F222" s="117" t="s">
        <v>322</v>
      </c>
      <c r="R222" s="120">
        <f t="array" aca="1" ref="R222" ca="1">E222:E522</f>
        <v>9.1198794180032572E-2</v>
      </c>
      <c r="S222" s="121">
        <f t="shared" ca="1" si="95"/>
        <v>2.7519876566629117E-2</v>
      </c>
      <c r="T222" s="121">
        <f t="shared" ca="1" si="97"/>
        <v>6.9702947369521234E-4</v>
      </c>
    </row>
    <row r="223" spans="3:20" s="74" customFormat="1" x14ac:dyDescent="0.2">
      <c r="C223" s="74">
        <v>30</v>
      </c>
      <c r="D223" s="74">
        <v>12.3</v>
      </c>
      <c r="E223" s="114">
        <f t="shared" ref="E223" ca="1" si="153">INDIRECT("a_" &amp; i) * t^3 + INDIRECT("b_" &amp; i) * t^2 + INDIRECT("c_" &amp; i) * t^1 + INDIRECT("d_" &amp; i)</f>
        <v>9.3957110855343251E-2</v>
      </c>
      <c r="F223" s="117" t="s">
        <v>322</v>
      </c>
      <c r="R223" s="120">
        <f t="array" aca="1" ref="R223" ca="1">E223:E523</f>
        <v>9.3957110855343251E-2</v>
      </c>
      <c r="S223" s="121">
        <f t="shared" ca="1" si="95"/>
        <v>2.7583166753106399E-2</v>
      </c>
      <c r="T223" s="121">
        <f t="shared" ca="1" si="97"/>
        <v>6.3290186477281201E-4</v>
      </c>
    </row>
    <row r="224" spans="3:20" s="74" customFormat="1" x14ac:dyDescent="0.2">
      <c r="C224" s="74">
        <v>30</v>
      </c>
      <c r="D224" s="74">
        <v>12.4</v>
      </c>
      <c r="E224" s="114">
        <f t="shared" ref="E224" ca="1" si="154">INDIRECT("a_" &amp; i) * t^3 + INDIRECT("b_" &amp; i) * t^2 + INDIRECT("c_" &amp; i) * t^1 + INDIRECT("d_" &amp; i)</f>
        <v>9.6721115273211866E-2</v>
      </c>
      <c r="F224" s="117" t="s">
        <v>322</v>
      </c>
      <c r="R224" s="120">
        <f t="array" aca="1" ref="R224" ca="1">E224:E524</f>
        <v>9.6721115273211866E-2</v>
      </c>
      <c r="S224" s="121">
        <f t="shared" ca="1" si="95"/>
        <v>2.7640044178686249E-2</v>
      </c>
      <c r="T224" s="121">
        <f t="shared" ca="1" si="97"/>
        <v>5.6877425579849661E-4</v>
      </c>
    </row>
    <row r="225" spans="3:20" s="74" customFormat="1" x14ac:dyDescent="0.2">
      <c r="C225" s="74">
        <v>30</v>
      </c>
      <c r="D225" s="74">
        <v>12.5</v>
      </c>
      <c r="E225" s="114">
        <f t="shared" ref="E225" ca="1" si="155">INDIRECT("a_" &amp; i) * t^3 + INDIRECT("b_" &amp; i) * t^2 + INDIRECT("c_" &amp; i) * t^1 + INDIRECT("d_" &amp; i)</f>
        <v>9.9490166157549353E-2</v>
      </c>
      <c r="F225" s="117" t="s">
        <v>322</v>
      </c>
      <c r="R225" s="120">
        <f t="array" aca="1" ref="R225" ca="1">E225:E525</f>
        <v>9.9490166157549353E-2</v>
      </c>
      <c r="S225" s="121">
        <f t="shared" ca="1" si="95"/>
        <v>2.769050884337497E-2</v>
      </c>
      <c r="T225" s="121">
        <f t="shared" ca="1" si="97"/>
        <v>5.0464664688720979E-4</v>
      </c>
    </row>
    <row r="226" spans="3:20" s="74" customFormat="1" x14ac:dyDescent="0.2">
      <c r="C226" s="74">
        <v>30</v>
      </c>
      <c r="D226" s="74">
        <v>12.6</v>
      </c>
      <c r="E226" s="114">
        <f t="shared" ref="E226" ca="1" si="156">INDIRECT("a_" &amp; i) * t^3 + INDIRECT("b_" &amp; i) * t^2 + INDIRECT("c_" &amp; i) * t^1 + INDIRECT("d_" &amp; i)</f>
        <v>0.10226362223226654</v>
      </c>
      <c r="F226" s="117" t="s">
        <v>322</v>
      </c>
      <c r="R226" s="120">
        <f t="array" aca="1" ref="R226" ca="1">E226:E526</f>
        <v>0.10226362223226654</v>
      </c>
      <c r="S226" s="121">
        <f t="shared" ca="1" si="95"/>
        <v>2.7734560747171941E-2</v>
      </c>
      <c r="T226" s="121">
        <f t="shared" ca="1" si="97"/>
        <v>4.4051903796971261E-4</v>
      </c>
    </row>
    <row r="227" spans="3:20" s="74" customFormat="1" x14ac:dyDescent="0.2">
      <c r="C227" s="74">
        <v>30</v>
      </c>
      <c r="D227" s="74">
        <v>12.7</v>
      </c>
      <c r="E227" s="114">
        <f t="shared" ref="E227" ca="1" si="157">INDIRECT("a_" &amp; i) * t^3 + INDIRECT("b_" &amp; i) * t^2 + INDIRECT("c_" &amp; i) * t^1 + INDIRECT("d_" &amp; i)</f>
        <v>0.10504084222127374</v>
      </c>
      <c r="F227" s="117" t="s">
        <v>322</v>
      </c>
      <c r="R227" s="120">
        <f t="array" aca="1" ref="R227" ca="1">E227:E527</f>
        <v>0.10504084222127374</v>
      </c>
      <c r="S227" s="121">
        <f t="shared" ca="1" si="95"/>
        <v>2.7772199890072166E-2</v>
      </c>
      <c r="T227" s="121">
        <f t="shared" ca="1" si="97"/>
        <v>3.7639142900225544E-4</v>
      </c>
    </row>
    <row r="228" spans="3:20" s="74" customFormat="1" x14ac:dyDescent="0.2">
      <c r="C228" s="74">
        <v>30</v>
      </c>
      <c r="D228" s="74">
        <v>12.8</v>
      </c>
      <c r="E228" s="114">
        <f t="shared" ref="E228" ca="1" si="158">INDIRECT("a_" &amp; i) * t^3 + INDIRECT("b_" &amp; i) * t^2 + INDIRECT("c_" &amp; i) * t^1 + INDIRECT("d_" &amp; i)</f>
        <v>0.10782118484848158</v>
      </c>
      <c r="F228" s="117" t="s">
        <v>322</v>
      </c>
      <c r="R228" s="120">
        <f t="array" aca="1" ref="R228" ca="1">E228:E528</f>
        <v>0.10782118484848158</v>
      </c>
      <c r="S228" s="121">
        <f t="shared" ca="1" si="95"/>
        <v>2.7803426272077929E-2</v>
      </c>
      <c r="T228" s="121">
        <f t="shared" ca="1" si="97"/>
        <v>3.1226382005762165E-4</v>
      </c>
    </row>
    <row r="229" spans="3:20" s="74" customFormat="1" x14ac:dyDescent="0.2">
      <c r="C229" s="74">
        <v>30</v>
      </c>
      <c r="D229" s="74">
        <v>12.9</v>
      </c>
      <c r="E229" s="114">
        <f t="shared" ref="E229" ca="1" si="159">INDIRECT("a_" &amp; i) * t^3 + INDIRECT("b_" &amp; i) * t^2 + INDIRECT("c_" &amp; i) * t^1 + INDIRECT("d_" &amp; i)</f>
        <v>0.11060400883780086</v>
      </c>
      <c r="F229" s="117" t="s">
        <v>322</v>
      </c>
      <c r="R229" s="120">
        <f t="array" aca="1" ref="R229" ca="1">E229:E529</f>
        <v>0.11060400883780086</v>
      </c>
      <c r="S229" s="121">
        <f t="shared" ca="1" si="95"/>
        <v>2.7828239893192927E-2</v>
      </c>
      <c r="T229" s="121">
        <f t="shared" ca="1" si="97"/>
        <v>2.4813621114998328E-4</v>
      </c>
    </row>
    <row r="230" spans="3:20" s="74" customFormat="1" x14ac:dyDescent="0.2">
      <c r="C230" s="74">
        <v>30</v>
      </c>
      <c r="D230" s="74">
        <v>13</v>
      </c>
      <c r="E230" s="114">
        <f t="shared" ref="E230" ca="1" si="160">INDIRECT("a_" &amp; i) * t^3 + INDIRECT("b_" &amp; i) * t^2 + INDIRECT("c_" &amp; i) * t^1 + INDIRECT("d_" &amp; i)</f>
        <v>0.11338867291314214</v>
      </c>
      <c r="F230" s="117" t="s">
        <v>322</v>
      </c>
      <c r="R230" s="120">
        <f t="array" aca="1" ref="R230" ca="1">E230:E530</f>
        <v>0.11338867291314214</v>
      </c>
      <c r="S230" s="121">
        <f t="shared" ref="S230:S293" ca="1" si="161">(R230-R229)/(D230-D229)</f>
        <v>2.7846640753412911E-2</v>
      </c>
      <c r="T230" s="121">
        <f t="shared" ca="1" si="97"/>
        <v>1.8400860219983865E-4</v>
      </c>
    </row>
    <row r="231" spans="3:20" s="74" customFormat="1" x14ac:dyDescent="0.2">
      <c r="C231" s="74">
        <v>30</v>
      </c>
      <c r="D231" s="74">
        <v>13.1</v>
      </c>
      <c r="E231" s="114">
        <f t="shared" ref="E231" ca="1" si="162">INDIRECT("a_" &amp; i) * t^3 + INDIRECT("b_" &amp; i) * t^2 + INDIRECT("c_" &amp; i) * t^1 + INDIRECT("d_" &amp; i)</f>
        <v>0.11617453579841602</v>
      </c>
      <c r="F231" s="117" t="s">
        <v>322</v>
      </c>
      <c r="R231" s="120">
        <f t="array" aca="1" ref="R231" ca="1">E231:E531</f>
        <v>0.11617453579841602</v>
      </c>
      <c r="S231" s="121">
        <f t="shared" ca="1" si="161"/>
        <v>2.7858628852738921E-2</v>
      </c>
      <c r="T231" s="121">
        <f t="shared" ref="T231:T294" ca="1" si="163">(S231-S230)/(D231-D230)</f>
        <v>1.1988099326010235E-4</v>
      </c>
    </row>
    <row r="232" spans="3:20" s="74" customFormat="1" x14ac:dyDescent="0.2">
      <c r="C232" s="74">
        <v>30</v>
      </c>
      <c r="D232" s="74">
        <v>13.2</v>
      </c>
      <c r="E232" s="114">
        <f t="shared" ref="E232" ca="1" si="164">INDIRECT("a_" &amp; i) * t^3 + INDIRECT("b_" &amp; i) * t^2 + INDIRECT("c_" &amp; i) * t^1 + INDIRECT("d_" &amp; i)</f>
        <v>0.11896095621753316</v>
      </c>
      <c r="F232" s="117" t="s">
        <v>322</v>
      </c>
      <c r="R232" s="120">
        <f t="array" aca="1" ref="R232" ca="1">E232:E532</f>
        <v>0.11896095621753316</v>
      </c>
      <c r="S232" s="121">
        <f t="shared" ca="1" si="161"/>
        <v>2.7864204191171516E-2</v>
      </c>
      <c r="T232" s="121">
        <f t="shared" ca="1" si="163"/>
        <v>5.5753384325951868E-5</v>
      </c>
    </row>
    <row r="233" spans="3:20" s="74" customFormat="1" x14ac:dyDescent="0.2">
      <c r="C233" s="74">
        <v>30</v>
      </c>
      <c r="D233" s="74">
        <v>13.3</v>
      </c>
      <c r="E233" s="114">
        <f t="shared" ref="E233" ca="1" si="165">INDIRECT("a_" &amp; i) * t^3 + INDIRECT("b_" &amp; i) * t^2 + INDIRECT("c_" &amp; i) * t^1 + INDIRECT("d_" &amp; i)</f>
        <v>0.12174729289440428</v>
      </c>
      <c r="F233" s="117" t="s">
        <v>322</v>
      </c>
      <c r="R233" s="120">
        <f t="array" aca="1" ref="R233" ca="1">E233:E533</f>
        <v>0.12174729289440428</v>
      </c>
      <c r="S233" s="121">
        <f t="shared" ca="1" si="161"/>
        <v>2.7863366768710755E-2</v>
      </c>
      <c r="T233" s="121">
        <f t="shared" ca="1" si="163"/>
        <v>-8.3742246076086637E-6</v>
      </c>
    </row>
    <row r="234" spans="3:20" s="74" customFormat="1" x14ac:dyDescent="0.2">
      <c r="C234" s="74">
        <v>30</v>
      </c>
      <c r="D234" s="74">
        <v>13.4</v>
      </c>
      <c r="E234" s="114">
        <f t="shared" ref="E234" ca="1" si="166">INDIRECT("a_" &amp; i) * t^3 + INDIRECT("b_" &amp; i) * t^2 + INDIRECT("c_" &amp; i) * t^1 + INDIRECT("d_" &amp; i)</f>
        <v>0.12453290455293969</v>
      </c>
      <c r="F234" s="117" t="s">
        <v>322</v>
      </c>
      <c r="R234" s="120">
        <f t="array" aca="1" ref="R234" ca="1">E234:E534</f>
        <v>0.12453290455293969</v>
      </c>
      <c r="S234" s="121">
        <f t="shared" ca="1" si="161"/>
        <v>2.7856116585354241E-2</v>
      </c>
      <c r="T234" s="121">
        <f t="shared" ca="1" si="163"/>
        <v>-7.2501833565143372E-5</v>
      </c>
    </row>
    <row r="235" spans="3:20" s="74" customFormat="1" x14ac:dyDescent="0.2">
      <c r="C235" s="74">
        <v>30</v>
      </c>
      <c r="D235" s="74">
        <v>13.5</v>
      </c>
      <c r="E235" s="114">
        <f t="shared" ref="E235" ca="1" si="167">INDIRECT("a_" &amp; i) * t^3 + INDIRECT("b_" &amp; i) * t^2 + INDIRECT("c_" &amp; i) * t^1 + INDIRECT("d_" &amp; i)</f>
        <v>0.12731714991705045</v>
      </c>
      <c r="F235" s="117" t="s">
        <v>322</v>
      </c>
      <c r="R235" s="120">
        <f t="array" aca="1" ref="R235" ca="1">E235:E535</f>
        <v>0.12731714991705045</v>
      </c>
      <c r="S235" s="121">
        <f t="shared" ca="1" si="161"/>
        <v>2.7842453641107701E-2</v>
      </c>
      <c r="T235" s="121">
        <f t="shared" ca="1" si="163"/>
        <v>-1.3662944246539737E-4</v>
      </c>
    </row>
    <row r="236" spans="3:20" s="74" customFormat="1" x14ac:dyDescent="0.2">
      <c r="C236" s="74">
        <v>30</v>
      </c>
      <c r="D236" s="74">
        <v>13.6</v>
      </c>
      <c r="E236" s="114">
        <f t="shared" ref="E236" ca="1" si="168">INDIRECT("a_" &amp; i) * t^3 + INDIRECT("b_" &amp; i) * t^2 + INDIRECT("c_" &amp; i) * t^1 + INDIRECT("d_" &amp; i)</f>
        <v>0.13009938771064694</v>
      </c>
      <c r="F236" s="117" t="s">
        <v>322</v>
      </c>
      <c r="R236" s="120">
        <f t="array" aca="1" ref="R236" ca="1">E236:E536</f>
        <v>0.13009938771064694</v>
      </c>
      <c r="S236" s="121">
        <f t="shared" ca="1" si="161"/>
        <v>2.7822377935964968E-2</v>
      </c>
      <c r="T236" s="121">
        <f t="shared" ca="1" si="163"/>
        <v>-2.0075705142733811E-4</v>
      </c>
    </row>
    <row r="237" spans="3:20" s="74" customFormat="1" x14ac:dyDescent="0.2">
      <c r="C237" s="74">
        <v>30</v>
      </c>
      <c r="D237" s="74">
        <v>13.7</v>
      </c>
      <c r="E237" s="114">
        <f t="shared" ref="E237" ca="1" si="169">INDIRECT("a_" &amp; i) * t^3 + INDIRECT("b_" &amp; i) * t^2 + INDIRECT("c_" &amp; i) * t^1 + INDIRECT("d_" &amp; i)</f>
        <v>0.13287897665763981</v>
      </c>
      <c r="F237" s="117" t="s">
        <v>322</v>
      </c>
      <c r="R237" s="120">
        <f t="array" aca="1" ref="R237" ca="1">E237:E537</f>
        <v>0.13287897665763981</v>
      </c>
      <c r="S237" s="121">
        <f t="shared" ca="1" si="161"/>
        <v>2.7795889469928822E-2</v>
      </c>
      <c r="T237" s="121">
        <f t="shared" ca="1" si="163"/>
        <v>-2.6488466036145389E-4</v>
      </c>
    </row>
    <row r="238" spans="3:20" s="74" customFormat="1" x14ac:dyDescent="0.2">
      <c r="C238" s="74">
        <v>30</v>
      </c>
      <c r="D238" s="74">
        <v>13.8</v>
      </c>
      <c r="E238" s="114">
        <f t="shared" ref="E238" ca="1" si="170">INDIRECT("a_" &amp; i) * t^3 + INDIRECT("b_" &amp; i) * t^2 + INDIRECT("c_" &amp; i) * t^1 + INDIRECT("d_" &amp; i)</f>
        <v>0.1356552754819399</v>
      </c>
      <c r="F238" s="117" t="s">
        <v>322</v>
      </c>
      <c r="R238" s="120">
        <f t="array" aca="1" ref="R238" ca="1">E238:E538</f>
        <v>0.1356552754819399</v>
      </c>
      <c r="S238" s="121">
        <f t="shared" ca="1" si="161"/>
        <v>2.7762988243000435E-2</v>
      </c>
      <c r="T238" s="121">
        <f t="shared" ca="1" si="163"/>
        <v>-3.2901226928387184E-4</v>
      </c>
    </row>
    <row r="239" spans="3:20" s="74" customFormat="1" x14ac:dyDescent="0.2">
      <c r="C239" s="74">
        <v>30</v>
      </c>
      <c r="D239" s="74">
        <v>13.9</v>
      </c>
      <c r="E239" s="114">
        <f t="shared" ref="E239" ca="1" si="171">INDIRECT("a_" &amp; i) * t^3 + INDIRECT("b_" &amp; i) * t^2 + INDIRECT("c_" &amp; i) * t^1 + INDIRECT("d_" &amp; i)</f>
        <v>0.13842764290745746</v>
      </c>
      <c r="F239" s="117" t="s">
        <v>322</v>
      </c>
      <c r="R239" s="120">
        <f t="array" aca="1" ref="R239" ca="1">E239:E539</f>
        <v>0.13842764290745746</v>
      </c>
      <c r="S239" s="121">
        <f t="shared" ca="1" si="161"/>
        <v>2.7723674255175731E-2</v>
      </c>
      <c r="T239" s="121">
        <f t="shared" ca="1" si="163"/>
        <v>-3.9313987824703275E-4</v>
      </c>
    </row>
    <row r="240" spans="3:20" s="74" customFormat="1" x14ac:dyDescent="0.2">
      <c r="C240" s="74">
        <v>30</v>
      </c>
      <c r="D240" s="74">
        <v>14</v>
      </c>
      <c r="E240" s="114">
        <f t="shared" ref="E240" ca="1" si="172">INDIRECT("a_" &amp; i) * t^3 + INDIRECT("b_" &amp; i) * t^2 + INDIRECT("c_" &amp; i) * t^1 + INDIRECT("d_" &amp; i)</f>
        <v>0.14119543765810333</v>
      </c>
      <c r="F240" s="117" t="s">
        <v>322</v>
      </c>
      <c r="R240" s="120">
        <f t="array" aca="1" ref="R240" ca="1">E240:E540</f>
        <v>0.14119543765810333</v>
      </c>
      <c r="S240" s="121">
        <f t="shared" ca="1" si="161"/>
        <v>2.7677947506458786E-2</v>
      </c>
      <c r="T240" s="121">
        <f t="shared" ca="1" si="163"/>
        <v>-4.5726748716945649E-4</v>
      </c>
    </row>
    <row r="241" spans="3:20" s="74" customFormat="1" x14ac:dyDescent="0.2">
      <c r="C241" s="74">
        <v>30</v>
      </c>
      <c r="D241" s="74">
        <v>14.1</v>
      </c>
      <c r="E241" s="114">
        <f t="shared" ref="E241" ca="1" si="173">INDIRECT("a_" &amp; i) * t^3 + INDIRECT("b_" &amp; i) * t^2 + INDIRECT("c_" &amp; i) * t^1 + INDIRECT("d_" &amp; i)</f>
        <v>0.14395801845778811</v>
      </c>
      <c r="F241" s="117" t="s">
        <v>322</v>
      </c>
      <c r="R241" s="120">
        <f t="array" aca="1" ref="R241" ca="1">E241:E541</f>
        <v>0.14395801845778811</v>
      </c>
      <c r="S241" s="121">
        <f t="shared" ca="1" si="161"/>
        <v>2.762580799684787E-2</v>
      </c>
      <c r="T241" s="121">
        <f t="shared" ca="1" si="163"/>
        <v>-5.2139509610915809E-4</v>
      </c>
    </row>
    <row r="242" spans="3:20" s="74" customFormat="1" x14ac:dyDescent="0.2">
      <c r="C242" s="74">
        <v>30</v>
      </c>
      <c r="D242" s="74">
        <v>14.2</v>
      </c>
      <c r="E242" s="114">
        <f t="shared" ref="E242" ca="1" si="174">INDIRECT("a_" &amp; i) * t^3 + INDIRECT("b_" &amp; i) * t^2 + INDIRECT("c_" &amp; i) * t^1 + INDIRECT("d_" &amp; i)</f>
        <v>0.14671474403042245</v>
      </c>
      <c r="F242" s="117" t="s">
        <v>322</v>
      </c>
      <c r="R242" s="120">
        <f t="array" aca="1" ref="R242" ca="1">E242:E542</f>
        <v>0.14671474403042245</v>
      </c>
      <c r="S242" s="121">
        <f t="shared" ca="1" si="161"/>
        <v>2.756725572634354E-2</v>
      </c>
      <c r="T242" s="121">
        <f t="shared" ca="1" si="163"/>
        <v>-5.8552270504330856E-4</v>
      </c>
    </row>
    <row r="243" spans="3:20" s="74" customFormat="1" x14ac:dyDescent="0.2">
      <c r="C243" s="74">
        <v>30</v>
      </c>
      <c r="D243" s="74">
        <v>14.3</v>
      </c>
      <c r="E243" s="114">
        <f t="shared" ref="E243" ca="1" si="175">INDIRECT("a_" &amp; i) * t^3 + INDIRECT("b_" &amp; i) * t^2 + INDIRECT("c_" &amp; i) * t^1 + INDIRECT("d_" &amp; i)</f>
        <v>0.14946497309991708</v>
      </c>
      <c r="F243" s="117" t="s">
        <v>322</v>
      </c>
      <c r="R243" s="120">
        <f t="array" aca="1" ref="R243" ca="1">E243:E543</f>
        <v>0.14946497309991708</v>
      </c>
      <c r="S243" s="121">
        <f t="shared" ca="1" si="161"/>
        <v>2.750229069494586E-2</v>
      </c>
      <c r="T243" s="121">
        <f t="shared" ca="1" si="163"/>
        <v>-6.4965031397678835E-4</v>
      </c>
    </row>
    <row r="244" spans="3:20" s="74" customFormat="1" x14ac:dyDescent="0.2">
      <c r="C244" s="74">
        <v>30</v>
      </c>
      <c r="D244" s="74">
        <v>14.4</v>
      </c>
      <c r="E244" s="114">
        <f t="shared" ref="E244" ca="1" si="176">INDIRECT("a_" &amp; i) * t^3 + INDIRECT("b_" &amp; i) * t^2 + INDIRECT("c_" &amp; i) * t^1 + INDIRECT("d_" &amp; i)</f>
        <v>0.15220806439018253</v>
      </c>
      <c r="F244" s="117" t="s">
        <v>322</v>
      </c>
      <c r="R244" s="120">
        <f t="array" aca="1" ref="R244" ca="1">E244:E544</f>
        <v>0.15220806439018253</v>
      </c>
      <c r="S244" s="121">
        <f t="shared" ca="1" si="161"/>
        <v>2.7430912902654633E-2</v>
      </c>
      <c r="T244" s="121">
        <f t="shared" ca="1" si="163"/>
        <v>-7.1377792291226871E-4</v>
      </c>
    </row>
    <row r="245" spans="3:20" s="74" customFormat="1" x14ac:dyDescent="0.2">
      <c r="C245" s="74">
        <v>30</v>
      </c>
      <c r="D245" s="74">
        <v>14.5</v>
      </c>
      <c r="E245" s="114">
        <f t="shared" ref="E245" ca="1" si="177">INDIRECT("a_" &amp; i) * t^3 + INDIRECT("b_" &amp; i) * t^2 + INDIRECT("c_" &amp; i) * t^1 + INDIRECT("d_" &amp; i)</f>
        <v>0.1549433766251293</v>
      </c>
      <c r="F245" s="117" t="s">
        <v>322</v>
      </c>
      <c r="R245" s="120">
        <f t="array" aca="1" ref="R245" ca="1">E245:E545</f>
        <v>0.1549433766251293</v>
      </c>
      <c r="S245" s="121">
        <f t="shared" ca="1" si="161"/>
        <v>2.7353122349467837E-2</v>
      </c>
      <c r="T245" s="121">
        <f t="shared" ca="1" si="163"/>
        <v>-7.7790553186796445E-4</v>
      </c>
    </row>
    <row r="246" spans="3:20" s="74" customFormat="1" x14ac:dyDescent="0.2">
      <c r="C246" s="74">
        <v>30</v>
      </c>
      <c r="D246" s="74">
        <v>14.6</v>
      </c>
      <c r="E246" s="114">
        <f t="shared" ref="E246" ca="1" si="178">INDIRECT("a_" &amp; i) * t^3 + INDIRECT("b_" &amp; i) * t^2 + INDIRECT("c_" &amp; i) * t^1 + INDIRECT("d_" &amp; i)</f>
        <v>0.15767026852866839</v>
      </c>
      <c r="F246" s="117" t="s">
        <v>322</v>
      </c>
      <c r="R246" s="120">
        <f t="array" aca="1" ref="R246" ca="1">E246:E546</f>
        <v>0.15767026852866839</v>
      </c>
      <c r="S246" s="121">
        <f t="shared" ca="1" si="161"/>
        <v>2.7268919035390957E-2</v>
      </c>
      <c r="T246" s="121">
        <f t="shared" ca="1" si="163"/>
        <v>-8.4203314076880835E-4</v>
      </c>
    </row>
    <row r="247" spans="3:20" s="74" customFormat="1" x14ac:dyDescent="0.2">
      <c r="C247" s="74">
        <v>30</v>
      </c>
      <c r="D247" s="74">
        <v>14.7</v>
      </c>
      <c r="E247" s="114">
        <f t="shared" ref="E247" ca="1" si="179">INDIRECT("a_" &amp; i) * t^3 + INDIRECT("b_" &amp; i) * t^2 + INDIRECT("c_" &amp; i) * t^1 + INDIRECT("d_" &amp; i)</f>
        <v>0.16038809882470989</v>
      </c>
      <c r="F247" s="117" t="s">
        <v>322</v>
      </c>
      <c r="R247" s="120">
        <f t="array" aca="1" ref="R247" ca="1">E247:E547</f>
        <v>0.16038809882470989</v>
      </c>
      <c r="S247" s="121">
        <f t="shared" ca="1" si="161"/>
        <v>2.717830296041511E-2</v>
      </c>
      <c r="T247" s="121">
        <f t="shared" ca="1" si="163"/>
        <v>-9.0616074975846997E-4</v>
      </c>
    </row>
    <row r="248" spans="3:20" s="74" customFormat="1" x14ac:dyDescent="0.2">
      <c r="C248" s="74">
        <v>30</v>
      </c>
      <c r="D248" s="74">
        <v>14.8</v>
      </c>
      <c r="E248" s="114">
        <f t="shared" ref="E248" ca="1" si="180">INDIRECT("a_" &amp; i) * t^3 + INDIRECT("b_" &amp; i) * t^2 + INDIRECT("c_" &amp; i) * t^1 + INDIRECT("d_" &amp; i)</f>
        <v>0.16309622623716497</v>
      </c>
      <c r="F248" s="117" t="s">
        <v>322</v>
      </c>
      <c r="R248" s="120">
        <f t="array" aca="1" ref="R248" ca="1">E248:E548</f>
        <v>0.16309622623716497</v>
      </c>
      <c r="S248" s="121">
        <f t="shared" ca="1" si="161"/>
        <v>2.7081274124550362E-2</v>
      </c>
      <c r="T248" s="121">
        <f t="shared" ca="1" si="163"/>
        <v>-9.7028835864746571E-4</v>
      </c>
    </row>
    <row r="249" spans="3:20" s="74" customFormat="1" x14ac:dyDescent="0.2">
      <c r="C249" s="74">
        <v>30</v>
      </c>
      <c r="D249" s="74">
        <v>14.9</v>
      </c>
      <c r="E249" s="114">
        <f t="shared" ref="E249" ca="1" si="181">INDIRECT("a_" &amp; i) * t^3 + INDIRECT("b_" &amp; i) * t^2 + INDIRECT("c_" &amp; i) * t^1 + INDIRECT("d_" &amp; i)</f>
        <v>0.16579400948994405</v>
      </c>
      <c r="F249" s="117" t="s">
        <v>322</v>
      </c>
      <c r="R249" s="120">
        <f t="array" aca="1" ref="R249" ca="1">E249:E549</f>
        <v>0.16579400948994405</v>
      </c>
      <c r="S249" s="121">
        <f t="shared" ca="1" si="161"/>
        <v>2.6977832527790943E-2</v>
      </c>
      <c r="T249" s="121">
        <f t="shared" ca="1" si="163"/>
        <v>-1.0344159675941928E-3</v>
      </c>
    </row>
    <row r="250" spans="3:20" s="74" customFormat="1" x14ac:dyDescent="0.2">
      <c r="C250" s="74">
        <v>30</v>
      </c>
      <c r="D250" s="74">
        <v>15</v>
      </c>
      <c r="E250" s="114">
        <f t="shared" ref="E250" ca="1" si="182">INDIRECT("a_" &amp; i) * t^3 + INDIRECT("b_" &amp; i) * t^2 + INDIRECT("c_" &amp; i) * t^1 + INDIRECT("d_" &amp; i)</f>
        <v>0.16848080730695741</v>
      </c>
      <c r="F250" s="117" t="s">
        <v>322</v>
      </c>
      <c r="R250" s="120">
        <f t="array" aca="1" ref="R250" ca="1">E250:E550</f>
        <v>0.16848080730695741</v>
      </c>
      <c r="S250" s="121">
        <f t="shared" ca="1" si="161"/>
        <v>2.6867978170133741E-2</v>
      </c>
      <c r="T250" s="121">
        <f t="shared" ca="1" si="163"/>
        <v>-1.0985435765720236E-3</v>
      </c>
    </row>
    <row r="251" spans="3:20" s="74" customFormat="1" x14ac:dyDescent="0.2">
      <c r="C251" s="74">
        <v>30</v>
      </c>
      <c r="D251" s="74">
        <v>15.1</v>
      </c>
      <c r="E251" s="114">
        <f t="shared" ref="E251" ca="1" si="183">INDIRECT("a_" &amp; i) * t^3 + INDIRECT("b_" &amp; i) * t^2 + INDIRECT("c_" &amp; i) * t^1 + INDIRECT("d_" &amp; i)</f>
        <v>0.17115597841211627</v>
      </c>
      <c r="F251" s="117" t="s">
        <v>322</v>
      </c>
      <c r="R251" s="120">
        <f t="array" aca="1" ref="R251" ca="1">E251:E551</f>
        <v>0.17115597841211627</v>
      </c>
      <c r="S251" s="121">
        <f t="shared" ca="1" si="161"/>
        <v>2.6751711051588672E-2</v>
      </c>
      <c r="T251" s="121">
        <f t="shared" ca="1" si="163"/>
        <v>-1.1626711854506977E-3</v>
      </c>
    </row>
    <row r="252" spans="3:20" s="74" customFormat="1" x14ac:dyDescent="0.2">
      <c r="C252" s="74">
        <v>30</v>
      </c>
      <c r="D252" s="74">
        <v>15.2</v>
      </c>
      <c r="E252" s="114">
        <f t="shared" ref="E252" ca="1" si="184">INDIRECT("a_" &amp; i) * t^3 + INDIRECT("b_" &amp; i) * t^2 + INDIRECT("c_" &amp; i) * t^1 + INDIRECT("d_" &amp; i)</f>
        <v>0.17381888152933095</v>
      </c>
      <c r="F252" s="117" t="s">
        <v>322</v>
      </c>
      <c r="R252" s="120">
        <f t="array" aca="1" ref="R252" ca="1">E252:E552</f>
        <v>0.17381888152933095</v>
      </c>
      <c r="S252" s="121">
        <f t="shared" ca="1" si="161"/>
        <v>2.662903117214686E-2</v>
      </c>
      <c r="T252" s="121">
        <f t="shared" ca="1" si="163"/>
        <v>-1.2267987944181201E-3</v>
      </c>
    </row>
    <row r="253" spans="3:20" s="74" customFormat="1" x14ac:dyDescent="0.2">
      <c r="C253" s="74">
        <v>30</v>
      </c>
      <c r="D253" s="74">
        <v>15.3</v>
      </c>
      <c r="E253" s="114">
        <f t="shared" ref="E253" ca="1" si="185">INDIRECT("a_" &amp; i) * t^3 + INDIRECT("b_" &amp; i) * t^2 + INDIRECT("c_" &amp; i) * t^1 + INDIRECT("d_" &amp; i)</f>
        <v>0.17646887538251216</v>
      </c>
      <c r="F253" s="117" t="s">
        <v>322</v>
      </c>
      <c r="R253" s="120">
        <f t="array" aca="1" ref="R253" ca="1">E253:E553</f>
        <v>0.17646887538251216</v>
      </c>
      <c r="S253" s="121">
        <f t="shared" ca="1" si="161"/>
        <v>2.6499938531811717E-2</v>
      </c>
      <c r="T253" s="121">
        <f t="shared" ca="1" si="163"/>
        <v>-1.290926403351415E-3</v>
      </c>
    </row>
    <row r="254" spans="3:20" s="74" customFormat="1" x14ac:dyDescent="0.2">
      <c r="C254" s="74">
        <v>30</v>
      </c>
      <c r="D254" s="74">
        <v>15.4</v>
      </c>
      <c r="E254" s="114">
        <f t="shared" ref="E254" ca="1" si="186">INDIRECT("a_" &amp; i) * t^3 + INDIRECT("b_" &amp; i) * t^2 + INDIRECT("c_" &amp; i) * t^1 + INDIRECT("d_" &amp; i)</f>
        <v>0.17910531869557028</v>
      </c>
      <c r="F254" s="117" t="s">
        <v>322</v>
      </c>
      <c r="R254" s="120">
        <f t="array" aca="1" ref="R254" ca="1">E254:E554</f>
        <v>0.17910531869557028</v>
      </c>
      <c r="S254" s="121">
        <f t="shared" ca="1" si="161"/>
        <v>2.6364433130581327E-2</v>
      </c>
      <c r="T254" s="121">
        <f t="shared" ca="1" si="163"/>
        <v>-1.3550540123039071E-3</v>
      </c>
    </row>
    <row r="255" spans="3:20" s="74" customFormat="1" x14ac:dyDescent="0.2">
      <c r="C255" s="74">
        <v>30</v>
      </c>
      <c r="D255" s="74">
        <v>15.5</v>
      </c>
      <c r="E255" s="114">
        <f t="shared" ref="E255" ca="1" si="187">INDIRECT("a_" &amp; i) * t^3 + INDIRECT("b_" &amp; i) * t^2 + INDIRECT("c_" &amp; i) * t^1 + INDIRECT("d_" &amp; i)</f>
        <v>0.18172757019241637</v>
      </c>
      <c r="F255" s="117" t="s">
        <v>322</v>
      </c>
      <c r="R255" s="120">
        <f t="array" aca="1" ref="R255" ca="1">E255:E555</f>
        <v>0.18172757019241637</v>
      </c>
      <c r="S255" s="121">
        <f t="shared" ca="1" si="161"/>
        <v>2.6222514968460935E-2</v>
      </c>
      <c r="T255" s="121">
        <f t="shared" ca="1" si="163"/>
        <v>-1.4191816212039182E-3</v>
      </c>
    </row>
    <row r="256" spans="3:20" s="74" customFormat="1" x14ac:dyDescent="0.2">
      <c r="C256" s="74">
        <v>30</v>
      </c>
      <c r="D256" s="74">
        <v>15.6</v>
      </c>
      <c r="E256" s="114">
        <f t="shared" ref="E256" ca="1" si="188">INDIRECT("a_" &amp; i) * t^3 + INDIRECT("b_" &amp; i) * t^2 + INDIRECT("c_" &amp; i) * t^1 + INDIRECT("d_" &amp; i)</f>
        <v>0.18433498859696068</v>
      </c>
      <c r="F256" s="117" t="s">
        <v>322</v>
      </c>
      <c r="R256" s="120">
        <f t="array" aca="1" ref="R256" ca="1">E256:E556</f>
        <v>0.18433498859696068</v>
      </c>
      <c r="S256" s="121">
        <f t="shared" ca="1" si="161"/>
        <v>2.6074184045443243E-2</v>
      </c>
      <c r="T256" s="121">
        <f t="shared" ca="1" si="163"/>
        <v>-1.4833092301769265E-3</v>
      </c>
    </row>
    <row r="257" spans="3:20" s="74" customFormat="1" x14ac:dyDescent="0.2">
      <c r="C257" s="74">
        <v>30</v>
      </c>
      <c r="D257" s="74">
        <v>15.7</v>
      </c>
      <c r="E257" s="114">
        <f t="shared" ref="E257" ca="1" si="189">INDIRECT("a_" &amp; i) * t^3 + INDIRECT("b_" &amp; i) * t^2 + INDIRECT("c_" &amp; i) * t^1 + INDIRECT("d_" &amp; i)</f>
        <v>0.18692693263311422</v>
      </c>
      <c r="F257" s="117" t="s">
        <v>322</v>
      </c>
      <c r="R257" s="120">
        <f t="array" aca="1" ref="R257" ca="1">E257:E557</f>
        <v>0.18692693263311422</v>
      </c>
      <c r="S257" s="121">
        <f t="shared" ca="1" si="161"/>
        <v>2.5919440361535467E-2</v>
      </c>
      <c r="T257" s="121">
        <f t="shared" ca="1" si="163"/>
        <v>-1.5474368390777703E-3</v>
      </c>
    </row>
    <row r="258" spans="3:20" s="74" customFormat="1" x14ac:dyDescent="0.2">
      <c r="C258" s="74">
        <v>30</v>
      </c>
      <c r="D258" s="74">
        <v>15.8</v>
      </c>
      <c r="E258" s="114">
        <f t="shared" ref="E258" ca="1" si="190">INDIRECT("a_" &amp; i) * t^3 + INDIRECT("b_" &amp; i) * t^2 + INDIRECT("c_" &amp; i) * t^1 + INDIRECT("d_" &amp; i)</f>
        <v>0.18950276102478725</v>
      </c>
      <c r="F258" s="117" t="s">
        <v>322</v>
      </c>
      <c r="R258" s="120">
        <f t="array" aca="1" ref="R258" ca="1">E258:E558</f>
        <v>0.18950276102478725</v>
      </c>
      <c r="S258" s="121">
        <f t="shared" ca="1" si="161"/>
        <v>2.5758283916729928E-2</v>
      </c>
      <c r="T258" s="121">
        <f t="shared" ca="1" si="163"/>
        <v>-1.6115644480553643E-3</v>
      </c>
    </row>
    <row r="259" spans="3:20" s="74" customFormat="1" x14ac:dyDescent="0.2">
      <c r="C259" s="74">
        <v>30</v>
      </c>
      <c r="D259" s="74">
        <v>15.9</v>
      </c>
      <c r="E259" s="114">
        <f t="shared" ref="E259" ca="1" si="191">INDIRECT("a_" &amp; i) * t^3 + INDIRECT("b_" &amp; i) * t^2 + INDIRECT("c_" &amp; i) * t^1 + INDIRECT("d_" &amp; i)</f>
        <v>0.19206183249589076</v>
      </c>
      <c r="F259" s="117" t="s">
        <v>322</v>
      </c>
      <c r="R259" s="120">
        <f t="array" aca="1" ref="R259" ca="1">E259:E559</f>
        <v>0.19206183249589076</v>
      </c>
      <c r="S259" s="121">
        <f t="shared" ca="1" si="161"/>
        <v>2.5590714711035224E-2</v>
      </c>
      <c r="T259" s="121">
        <f t="shared" ca="1" si="163"/>
        <v>-1.6756920569470427E-3</v>
      </c>
    </row>
    <row r="260" spans="3:20" s="74" customFormat="1" x14ac:dyDescent="0.2">
      <c r="C260" s="74">
        <v>30</v>
      </c>
      <c r="D260" s="74">
        <v>16</v>
      </c>
      <c r="E260" s="114">
        <f t="shared" ref="E260" ca="1" si="192">INDIRECT("a_" &amp; i) * t^3 + INDIRECT("b_" &amp; i) * t^2 + INDIRECT("c_" &amp; i) * t^1 + INDIRECT("d_" &amp; i)</f>
        <v>0.19460350577033492</v>
      </c>
      <c r="F260" s="117" t="s">
        <v>322</v>
      </c>
      <c r="R260" s="120">
        <f t="array" aca="1" ref="R260" ca="1">E260:E560</f>
        <v>0.19460350577033492</v>
      </c>
      <c r="S260" s="121">
        <f t="shared" ca="1" si="161"/>
        <v>2.5416732744441652E-2</v>
      </c>
      <c r="T260" s="121">
        <f t="shared" ca="1" si="163"/>
        <v>-1.7398196659357331E-3</v>
      </c>
    </row>
    <row r="261" spans="3:20" s="74" customFormat="1" x14ac:dyDescent="0.2">
      <c r="C261" s="74">
        <v>30</v>
      </c>
      <c r="D261" s="74">
        <v>16.100000000000001</v>
      </c>
      <c r="E261" s="114">
        <f t="shared" ref="E261" ca="1" si="193">INDIRECT("a_" &amp; i) * t^3 + INDIRECT("b_" &amp; i) * t^2 + INDIRECT("c_" &amp; i) * t^1 + INDIRECT("d_" &amp; i)</f>
        <v>0.19712713957203076</v>
      </c>
      <c r="F261" s="117" t="s">
        <v>322</v>
      </c>
      <c r="R261" s="120">
        <f t="array" aca="1" ref="R261" ca="1">E261:E561</f>
        <v>0.19712713957203076</v>
      </c>
      <c r="S261" s="121">
        <f t="shared" ca="1" si="161"/>
        <v>2.5236338016958102E-2</v>
      </c>
      <c r="T261" s="121">
        <f t="shared" ca="1" si="163"/>
        <v>-1.8039472748354692E-3</v>
      </c>
    </row>
    <row r="262" spans="3:20" s="74" customFormat="1" x14ac:dyDescent="0.2">
      <c r="C262" s="74">
        <v>30</v>
      </c>
      <c r="D262" s="74">
        <v>16.2</v>
      </c>
      <c r="E262" s="114">
        <f t="shared" ref="E262" ca="1" si="194">INDIRECT("a_" &amp; i) * t^3 + INDIRECT("b_" &amp; i) * t^2 + INDIRECT("c_" &amp; i) * t^1 + INDIRECT("d_" &amp; i)</f>
        <v>0.19963209262488879</v>
      </c>
      <c r="F262" s="117" t="s">
        <v>322</v>
      </c>
      <c r="R262" s="120">
        <f t="array" aca="1" ref="R262" ca="1">E262:E562</f>
        <v>0.19963209262488879</v>
      </c>
      <c r="S262" s="121">
        <f t="shared" ca="1" si="161"/>
        <v>2.5049530528580811E-2</v>
      </c>
      <c r="T262" s="121">
        <f t="shared" ca="1" si="163"/>
        <v>-1.8680748837729463E-3</v>
      </c>
    </row>
    <row r="263" spans="3:20" s="74" customFormat="1" x14ac:dyDescent="0.2">
      <c r="C263" s="74">
        <v>30</v>
      </c>
      <c r="D263" s="74">
        <v>16.3</v>
      </c>
      <c r="E263" s="114">
        <f t="shared" ref="E263" ca="1" si="195">INDIRECT("a_" &amp; i) * t^3 + INDIRECT("b_" &amp; i) * t^2 + INDIRECT("c_" &amp; i) * t^1 + INDIRECT("d_" &amp; i)</f>
        <v>0.20211772365281933</v>
      </c>
      <c r="F263" s="117" t="s">
        <v>322</v>
      </c>
      <c r="R263" s="120">
        <f t="array" aca="1" ref="R263" ca="1">E263:E563</f>
        <v>0.20211772365281933</v>
      </c>
      <c r="S263" s="121">
        <f t="shared" ca="1" si="161"/>
        <v>2.4856310279304995E-2</v>
      </c>
      <c r="T263" s="121">
        <f t="shared" ca="1" si="163"/>
        <v>-1.932202492758134E-3</v>
      </c>
    </row>
    <row r="264" spans="3:20" s="74" customFormat="1" x14ac:dyDescent="0.2">
      <c r="C264" s="74">
        <v>30</v>
      </c>
      <c r="D264" s="74">
        <v>16.399999999999999</v>
      </c>
      <c r="E264" s="114">
        <f t="shared" ref="E264" ca="1" si="196">INDIRECT("a_" &amp; i) * t^3 + INDIRECT("b_" &amp; i) * t^2 + INDIRECT("c_" &amp; i) * t^1 + INDIRECT("d_" &amp; i)</f>
        <v>0.2045833913797338</v>
      </c>
      <c r="F264" s="117" t="s">
        <v>322</v>
      </c>
      <c r="R264" s="120">
        <f t="array" aca="1" ref="R264" ca="1">E264:E564</f>
        <v>0.2045833913797338</v>
      </c>
      <c r="S264" s="121">
        <f t="shared" ca="1" si="161"/>
        <v>2.4656677269145302E-2</v>
      </c>
      <c r="T264" s="121">
        <f t="shared" ca="1" si="163"/>
        <v>-1.9963301015969792E-3</v>
      </c>
    </row>
    <row r="265" spans="3:20" s="74" customFormat="1" x14ac:dyDescent="0.2">
      <c r="C265" s="74">
        <v>30</v>
      </c>
      <c r="D265" s="74">
        <v>16.5</v>
      </c>
      <c r="E265" s="114">
        <f t="shared" ref="E265" ca="1" si="197">INDIRECT("a_" &amp; i) * t^3 + INDIRECT("b_" &amp; i) * t^2 + INDIRECT("c_" &amp; i) * t^1 + INDIRECT("d_" &amp; i)</f>
        <v>0.20702845452954199</v>
      </c>
      <c r="F265" s="117" t="s">
        <v>322</v>
      </c>
      <c r="R265" s="120">
        <f t="array" aca="1" ref="R265" ca="1">E265:E565</f>
        <v>0.20702845452954199</v>
      </c>
      <c r="S265" s="121">
        <f t="shared" ca="1" si="161"/>
        <v>2.4450631498081563E-2</v>
      </c>
      <c r="T265" s="121">
        <f t="shared" ca="1" si="163"/>
        <v>-2.0604577106373614E-3</v>
      </c>
    </row>
    <row r="266" spans="3:20" s="74" customFormat="1" x14ac:dyDescent="0.2">
      <c r="C266" s="74">
        <v>30</v>
      </c>
      <c r="D266" s="74">
        <v>16.600000000000001</v>
      </c>
      <c r="E266" s="114">
        <f t="shared" ref="E266" ca="1" si="198">INDIRECT("a_" &amp; i) * t^3 + INDIRECT("b_" &amp; i) * t^2 + INDIRECT("c_" &amp; i) * t^1 + INDIRECT("d_" &amp; i)</f>
        <v>0.209452271826155</v>
      </c>
      <c r="F266" s="117" t="s">
        <v>322</v>
      </c>
      <c r="R266" s="120">
        <f t="array" aca="1" ref="R266" ca="1">E266:E566</f>
        <v>0.209452271826155</v>
      </c>
      <c r="S266" s="121">
        <f t="shared" ca="1" si="161"/>
        <v>2.4238172966129724E-2</v>
      </c>
      <c r="T266" s="121">
        <f t="shared" ca="1" si="163"/>
        <v>-2.1245853195183588E-3</v>
      </c>
    </row>
    <row r="267" spans="3:20" s="74" customFormat="1" x14ac:dyDescent="0.2">
      <c r="C267" s="74">
        <v>30</v>
      </c>
      <c r="D267" s="74">
        <v>16.7</v>
      </c>
      <c r="E267" s="114">
        <f t="shared" ref="E267" ca="1" si="199">INDIRECT("a_" &amp; i) * t^3 + INDIRECT("b_" &amp; i) * t^2 + INDIRECT("c_" &amp; i) * t^1 + INDIRECT("d_" &amp; i)</f>
        <v>0.2118542019934832</v>
      </c>
      <c r="F267" s="117" t="s">
        <v>322</v>
      </c>
      <c r="R267" s="120">
        <f t="array" aca="1" ref="R267" ca="1">E267:E567</f>
        <v>0.2118542019934832</v>
      </c>
      <c r="S267" s="121">
        <f t="shared" ca="1" si="161"/>
        <v>2.4019301673282548E-2</v>
      </c>
      <c r="T267" s="121">
        <f t="shared" ca="1" si="163"/>
        <v>-2.188712928471807E-3</v>
      </c>
    </row>
    <row r="268" spans="3:20" s="74" customFormat="1" x14ac:dyDescent="0.2">
      <c r="C268" s="74">
        <v>30</v>
      </c>
      <c r="D268" s="74">
        <v>16.8</v>
      </c>
      <c r="E268" s="114">
        <f t="shared" ref="E268" ca="1" si="200">INDIRECT("a_" &amp; i) * t^3 + INDIRECT("b_" &amp; i) * t^2 + INDIRECT("c_" &amp; i) * t^1 + INDIRECT("d_" &amp; i)</f>
        <v>0.21423360375543726</v>
      </c>
      <c r="F268" s="117" t="s">
        <v>322</v>
      </c>
      <c r="R268" s="120">
        <f t="array" aca="1" ref="R268" ca="1">E268:E568</f>
        <v>0.21423360375543726</v>
      </c>
      <c r="S268" s="121">
        <f t="shared" ca="1" si="161"/>
        <v>2.379401761954025E-2</v>
      </c>
      <c r="T268" s="121">
        <f t="shared" ca="1" si="163"/>
        <v>-2.252840537422948E-3</v>
      </c>
    </row>
    <row r="269" spans="3:20" s="74" customFormat="1" x14ac:dyDescent="0.2">
      <c r="C269" s="74">
        <v>30</v>
      </c>
      <c r="D269" s="74">
        <v>16.899999999999999</v>
      </c>
      <c r="E269" s="114">
        <f t="shared" ref="E269" ca="1" si="201">INDIRECT("a_" &amp; i) * t^3 + INDIRECT("b_" &amp; i) * t^2 + INDIRECT("c_" &amp; i) * t^1 + INDIRECT("d_" &amp; i)</f>
        <v>0.216589835835928</v>
      </c>
      <c r="F269" s="117" t="s">
        <v>322</v>
      </c>
      <c r="R269" s="120">
        <f t="array" aca="1" ref="R269" ca="1">E269:E569</f>
        <v>0.216589835835928</v>
      </c>
      <c r="S269" s="121">
        <f t="shared" ca="1" si="161"/>
        <v>2.3562320804907892E-2</v>
      </c>
      <c r="T269" s="121">
        <f t="shared" ca="1" si="163"/>
        <v>-2.3169681463236303E-3</v>
      </c>
    </row>
    <row r="270" spans="3:20" s="74" customFormat="1" x14ac:dyDescent="0.2">
      <c r="C270" s="74">
        <v>30</v>
      </c>
      <c r="D270" s="74">
        <v>17</v>
      </c>
      <c r="E270" s="114">
        <f t="shared" ref="E270" ca="1" si="202">INDIRECT("a_" &amp; i) * t^3 + INDIRECT("b_" &amp; i) * t^2 + INDIRECT("c_" &amp; i) * t^1 + INDIRECT("d_" &amp; i)</f>
        <v>0.21892225695886619</v>
      </c>
      <c r="F270" s="117" t="s">
        <v>322</v>
      </c>
      <c r="R270" s="120">
        <f t="array" aca="1" ref="R270" ca="1">E270:E570</f>
        <v>0.21892225695886619</v>
      </c>
      <c r="S270" s="121">
        <f t="shared" ca="1" si="161"/>
        <v>2.3324211229381553E-2</v>
      </c>
      <c r="T270" s="121">
        <f t="shared" ca="1" si="163"/>
        <v>-2.3810957552633525E-3</v>
      </c>
    </row>
    <row r="271" spans="3:20" s="74" customFormat="1" x14ac:dyDescent="0.2">
      <c r="C271" s="74">
        <v>30</v>
      </c>
      <c r="D271" s="74">
        <v>17.100000000000001</v>
      </c>
      <c r="E271" s="114">
        <f t="shared" ref="E271" ca="1" si="203">INDIRECT("a_" &amp; i) * t^3 + INDIRECT("b_" &amp; i) * t^2 + INDIRECT("c_" &amp; i) * t^1 + INDIRECT("d_" &amp; i)</f>
        <v>0.22123022584816182</v>
      </c>
      <c r="F271" s="117" t="s">
        <v>322</v>
      </c>
      <c r="R271" s="120">
        <f t="array" aca="1" ref="R271" ca="1">E271:E571</f>
        <v>0.22123022584816182</v>
      </c>
      <c r="S271" s="121">
        <f t="shared" ca="1" si="161"/>
        <v>2.3079688892955978E-2</v>
      </c>
      <c r="T271" s="121">
        <f t="shared" ca="1" si="163"/>
        <v>-2.4452233642557192E-3</v>
      </c>
    </row>
    <row r="272" spans="3:20" s="74" customFormat="1" x14ac:dyDescent="0.2">
      <c r="C272" s="74">
        <v>30</v>
      </c>
      <c r="D272" s="74">
        <v>17.2</v>
      </c>
      <c r="E272" s="114">
        <f t="shared" ref="E272" ca="1" si="204">INDIRECT("a_" &amp; i) * t^3 + INDIRECT("b_" &amp; i) * t^2 + INDIRECT("c_" &amp; i) * t^1 + INDIRECT("d_" &amp; i)</f>
        <v>0.22351310122772633</v>
      </c>
      <c r="F272" s="117" t="s">
        <v>322</v>
      </c>
      <c r="R272" s="120">
        <f t="array" aca="1" ref="R272" ca="1">E272:E572</f>
        <v>0.22351310122772633</v>
      </c>
      <c r="S272" s="121">
        <f t="shared" ca="1" si="161"/>
        <v>2.2828753795645571E-2</v>
      </c>
      <c r="T272" s="121">
        <f t="shared" ca="1" si="163"/>
        <v>-2.5093509731041234E-3</v>
      </c>
    </row>
    <row r="273" spans="3:20" s="74" customFormat="1" x14ac:dyDescent="0.2">
      <c r="C273" s="74">
        <v>30</v>
      </c>
      <c r="D273" s="74">
        <v>17.3</v>
      </c>
      <c r="E273" s="114">
        <f t="shared" ref="E273" ca="1" si="205">INDIRECT("a_" &amp; i) * t^3 + INDIRECT("b_" &amp; i) * t^2 + INDIRECT("c_" &amp; i) * t^1 + INDIRECT("d_" &amp; i)</f>
        <v>0.2257702418214696</v>
      </c>
      <c r="F273" s="117" t="s">
        <v>322</v>
      </c>
      <c r="R273" s="120">
        <f t="array" aca="1" ref="R273" ca="1">E273:E573</f>
        <v>0.2257702418214696</v>
      </c>
      <c r="S273" s="121">
        <f t="shared" ca="1" si="161"/>
        <v>2.2571405937432357E-2</v>
      </c>
      <c r="T273" s="121">
        <f t="shared" ca="1" si="163"/>
        <v>-2.5734785821321018E-3</v>
      </c>
    </row>
    <row r="274" spans="3:20" s="74" customFormat="1" x14ac:dyDescent="0.2">
      <c r="C274" s="74">
        <v>30</v>
      </c>
      <c r="D274" s="74">
        <v>17.399999999999999</v>
      </c>
      <c r="E274" s="114">
        <f t="shared" ref="E274" ca="1" si="206">INDIRECT("a_" &amp; i) * t^3 + INDIRECT("b_" &amp; i) * t^2 + INDIRECT("c_" &amp; i) * t^1 + INDIRECT("d_" &amp; i)</f>
        <v>0.22800100635330273</v>
      </c>
      <c r="F274" s="117" t="s">
        <v>322</v>
      </c>
      <c r="R274" s="120">
        <f t="array" aca="1" ref="R274" ca="1">E274:E574</f>
        <v>0.22800100635330273</v>
      </c>
      <c r="S274" s="121">
        <f t="shared" ca="1" si="161"/>
        <v>2.2307645318331768E-2</v>
      </c>
      <c r="T274" s="121">
        <f t="shared" ca="1" si="163"/>
        <v>-2.6376061910059418E-3</v>
      </c>
    </row>
    <row r="275" spans="3:20" s="74" customFormat="1" x14ac:dyDescent="0.2">
      <c r="C275" s="74">
        <v>30</v>
      </c>
      <c r="D275" s="74">
        <v>17.5</v>
      </c>
      <c r="E275" s="114">
        <f t="shared" ref="E275" ca="1" si="207">INDIRECT("a_" &amp; i) * t^3 + INDIRECT("b_" &amp; i) * t^2 + INDIRECT("c_" &amp; i) * t^1 + INDIRECT("d_" &amp; i)</f>
        <v>0.23020475354713638</v>
      </c>
      <c r="F275" s="117" t="s">
        <v>322</v>
      </c>
      <c r="R275" s="120">
        <f t="array" aca="1" ref="R275" ca="1">E275:E575</f>
        <v>0.23020475354713638</v>
      </c>
      <c r="S275" s="121">
        <f t="shared" ca="1" si="161"/>
        <v>2.2037471938336183E-2</v>
      </c>
      <c r="T275" s="121">
        <f t="shared" ca="1" si="163"/>
        <v>-2.7017337999558177E-3</v>
      </c>
    </row>
    <row r="276" spans="3:20" s="74" customFormat="1" x14ac:dyDescent="0.2">
      <c r="C276" s="74">
        <v>30</v>
      </c>
      <c r="D276" s="74">
        <v>17.600000000000001</v>
      </c>
      <c r="E276" s="114">
        <f t="shared" ref="E276" ca="1" si="208">INDIRECT("a_" &amp; i) * t^3 + INDIRECT("b_" &amp; i) * t^2 + INDIRECT("c_" &amp; i) * t^1 + INDIRECT("d_" &amp; i)</f>
        <v>0.23238084212688065</v>
      </c>
      <c r="F276" s="117" t="s">
        <v>322</v>
      </c>
      <c r="R276" s="120">
        <f t="array" aca="1" ref="R276" ca="1">E276:E576</f>
        <v>0.23238084212688065</v>
      </c>
      <c r="S276" s="121">
        <f t="shared" ca="1" si="161"/>
        <v>2.1760885797442422E-2</v>
      </c>
      <c r="T276" s="121">
        <f t="shared" ca="1" si="163"/>
        <v>-2.7658614089375679E-3</v>
      </c>
    </row>
    <row r="277" spans="3:20" s="74" customFormat="1" x14ac:dyDescent="0.2">
      <c r="C277" s="74">
        <v>30</v>
      </c>
      <c r="D277" s="74">
        <v>17.7</v>
      </c>
      <c r="E277" s="114">
        <f t="shared" ref="E277" ca="1" si="209">INDIRECT("a_" &amp; i) * t^3 + INDIRECT("b_" &amp; i) * t^2 + INDIRECT("c_" &amp; i) * t^1 + INDIRECT("d_" &amp; i)</f>
        <v>0.23452863081644687</v>
      </c>
      <c r="F277" s="117" t="s">
        <v>322</v>
      </c>
      <c r="R277" s="120">
        <f t="array" aca="1" ref="R277" ca="1">E277:E577</f>
        <v>0.23452863081644687</v>
      </c>
      <c r="S277" s="121">
        <f t="shared" ca="1" si="161"/>
        <v>2.1477886895662671E-2</v>
      </c>
      <c r="T277" s="121">
        <f t="shared" ca="1" si="163"/>
        <v>-2.8299890177975718E-3</v>
      </c>
    </row>
    <row r="278" spans="3:20" s="74" customFormat="1" x14ac:dyDescent="0.2">
      <c r="C278" s="74">
        <v>30</v>
      </c>
      <c r="D278" s="74">
        <v>17.8</v>
      </c>
      <c r="E278" s="114">
        <f t="shared" ref="E278" ca="1" si="210">INDIRECT("a_" &amp; i) * t^3 + INDIRECT("b_" &amp; i) * t^2 + INDIRECT("c_" &amp; i) * t^1 + INDIRECT("d_" &amp; i)</f>
        <v>0.23664747833974537</v>
      </c>
      <c r="F278" s="117" t="s">
        <v>322</v>
      </c>
      <c r="R278" s="120">
        <f t="array" aca="1" ref="R278" ca="1">E278:E578</f>
        <v>0.23664747833974537</v>
      </c>
      <c r="S278" s="121">
        <f t="shared" ca="1" si="161"/>
        <v>2.1188475232984647E-2</v>
      </c>
      <c r="T278" s="121">
        <f t="shared" ca="1" si="163"/>
        <v>-2.8941166267801928E-3</v>
      </c>
    </row>
    <row r="279" spans="3:20" s="74" customFormat="1" x14ac:dyDescent="0.2">
      <c r="C279" s="74">
        <v>30</v>
      </c>
      <c r="D279" s="74">
        <v>17.899999999999999</v>
      </c>
      <c r="E279" s="114">
        <f t="shared" ref="E279" ca="1" si="211">INDIRECT("a_" &amp; i) * t^3 + INDIRECT("b_" &amp; i) * t^2 + INDIRECT("c_" &amp; i) * t^1 + INDIRECT("d_" &amp; i)</f>
        <v>0.23873674342068646</v>
      </c>
      <c r="F279" s="117" t="s">
        <v>322</v>
      </c>
      <c r="R279" s="120">
        <f t="array" aca="1" ref="R279" ca="1">E279:E579</f>
        <v>0.23873674342068646</v>
      </c>
      <c r="S279" s="121">
        <f t="shared" ca="1" si="161"/>
        <v>2.0892650809411384E-2</v>
      </c>
      <c r="T279" s="121">
        <f t="shared" ca="1" si="163"/>
        <v>-2.9582442357326964E-3</v>
      </c>
    </row>
    <row r="280" spans="3:20" s="74" customFormat="1" x14ac:dyDescent="0.2">
      <c r="C280" s="74">
        <v>30</v>
      </c>
      <c r="D280" s="74">
        <v>18</v>
      </c>
      <c r="E280" s="114">
        <f t="shared" ref="E280" ca="1" si="212">INDIRECT("a_" &amp; i) * t^3 + INDIRECT("b_" &amp; i) * t^2 + INDIRECT("c_" &amp; i) * t^1 + INDIRECT("d_" &amp; i)</f>
        <v>0.24079578478318125</v>
      </c>
      <c r="F280" s="117" t="s">
        <v>322</v>
      </c>
      <c r="R280" s="120">
        <f t="array" aca="1" ref="R280" ca="1">E280:E580</f>
        <v>0.24079578478318125</v>
      </c>
      <c r="S280" s="121">
        <f t="shared" ca="1" si="161"/>
        <v>2.0590413624947665E-2</v>
      </c>
      <c r="T280" s="121">
        <f t="shared" ca="1" si="163"/>
        <v>-3.0223718446371465E-3</v>
      </c>
    </row>
    <row r="281" spans="3:20" s="74" customFormat="1" x14ac:dyDescent="0.2">
      <c r="C281" s="74">
        <v>30</v>
      </c>
      <c r="D281" s="74">
        <v>18.100000000000001</v>
      </c>
      <c r="E281" s="114">
        <f t="shared" ref="E281" ca="1" si="213">INDIRECT("a_" &amp; i) * t^3 + INDIRECT("b_" &amp; i) * t^2 + INDIRECT("c_" &amp; i) * t^1 + INDIRECT("d_" &amp; i)</f>
        <v>0.24282396115114019</v>
      </c>
      <c r="F281" s="117" t="s">
        <v>322</v>
      </c>
      <c r="R281" s="120">
        <f t="array" aca="1" ref="R281" ca="1">E281:E581</f>
        <v>0.24282396115114019</v>
      </c>
      <c r="S281" s="121">
        <f t="shared" ca="1" si="161"/>
        <v>2.0281763679589049E-2</v>
      </c>
      <c r="T281" s="121">
        <f t="shared" ca="1" si="163"/>
        <v>-3.0864994535861104E-3</v>
      </c>
    </row>
    <row r="282" spans="3:20" s="74" customFormat="1" x14ac:dyDescent="0.2">
      <c r="C282" s="74">
        <v>30</v>
      </c>
      <c r="D282" s="74">
        <v>18.2</v>
      </c>
      <c r="E282" s="114">
        <f t="shared" ref="E282" ca="1" si="214">INDIRECT("a_" &amp; i) * t^3 + INDIRECT("b_" &amp; i) * t^2 + INDIRECT("c_" &amp; i) * t^1 + INDIRECT("d_" &amp; i)</f>
        <v>0.2448206312484737</v>
      </c>
      <c r="F282" s="117" t="s">
        <v>322</v>
      </c>
      <c r="R282" s="120">
        <f t="array" aca="1" ref="R282" ca="1">E282:E582</f>
        <v>0.2448206312484737</v>
      </c>
      <c r="S282" s="121">
        <f t="shared" ca="1" si="161"/>
        <v>1.996670097333551E-2</v>
      </c>
      <c r="T282" s="121">
        <f t="shared" ca="1" si="163"/>
        <v>-3.1506270625354638E-3</v>
      </c>
    </row>
    <row r="283" spans="3:20" s="74" customFormat="1" x14ac:dyDescent="0.2">
      <c r="C283" s="74">
        <v>30</v>
      </c>
      <c r="D283" s="74">
        <v>18.3</v>
      </c>
      <c r="E283" s="114">
        <f t="shared" ref="E283" ca="1" si="215">INDIRECT("a_" &amp; i) * t^3 + INDIRECT("b_" &amp; i) * t^2 + INDIRECT("c_" &amp; i) * t^1 + INDIRECT("d_" &amp; i)</f>
        <v>0.24678515379909299</v>
      </c>
      <c r="F283" s="117" t="s">
        <v>322</v>
      </c>
      <c r="R283" s="120">
        <f t="array" aca="1" ref="R283" ca="1">E283:E583</f>
        <v>0.24678515379909299</v>
      </c>
      <c r="S283" s="121">
        <f t="shared" ca="1" si="161"/>
        <v>1.9645225506192687E-2</v>
      </c>
      <c r="T283" s="121">
        <f t="shared" ca="1" si="163"/>
        <v>-3.2147546714281802E-3</v>
      </c>
    </row>
    <row r="284" spans="3:20" s="74" customFormat="1" x14ac:dyDescent="0.2">
      <c r="C284" s="74">
        <v>30</v>
      </c>
      <c r="D284" s="74">
        <v>18.399999999999999</v>
      </c>
      <c r="E284" s="114">
        <f t="shared" ref="E284" ca="1" si="216">INDIRECT("a_" &amp; i) * t^3 + INDIRECT("b_" &amp; i) * t^2 + INDIRECT("c_" &amp; i) * t^1 + INDIRECT("d_" &amp; i)</f>
        <v>0.24871688752690807</v>
      </c>
      <c r="F284" s="117" t="s">
        <v>322</v>
      </c>
      <c r="R284" s="120">
        <f t="array" aca="1" ref="R284" ca="1">E284:E584</f>
        <v>0.24871688752690807</v>
      </c>
      <c r="S284" s="121">
        <f t="shared" ca="1" si="161"/>
        <v>1.9317337278151183E-2</v>
      </c>
      <c r="T284" s="121">
        <f t="shared" ca="1" si="163"/>
        <v>-3.278882280415112E-3</v>
      </c>
    </row>
    <row r="285" spans="3:20" s="74" customFormat="1" x14ac:dyDescent="0.2">
      <c r="C285" s="74">
        <v>30</v>
      </c>
      <c r="D285" s="74">
        <v>18.5</v>
      </c>
      <c r="E285" s="114">
        <f t="shared" ref="E285" ca="1" si="217">INDIRECT("a_" &amp; i) * t^3 + INDIRECT("b_" &amp; i) * t^2 + INDIRECT("c_" &amp; i) * t^1 + INDIRECT("d_" &amp; i)</f>
        <v>0.25061519115582981</v>
      </c>
      <c r="F285" s="117" t="s">
        <v>322</v>
      </c>
      <c r="R285" s="120">
        <f t="array" aca="1" ref="R285" ca="1">E285:E585</f>
        <v>0.25061519115582981</v>
      </c>
      <c r="S285" s="121">
        <f t="shared" ca="1" si="161"/>
        <v>1.898303628921711E-2</v>
      </c>
      <c r="T285" s="121">
        <f t="shared" ca="1" si="163"/>
        <v>-3.3430098893406793E-3</v>
      </c>
    </row>
    <row r="286" spans="3:20" s="74" customFormat="1" x14ac:dyDescent="0.2">
      <c r="C286" s="74">
        <v>30</v>
      </c>
      <c r="D286" s="74">
        <v>18.600000000000001</v>
      </c>
      <c r="E286" s="114">
        <f t="shared" ref="E286" ca="1" si="218">INDIRECT("a_" &amp; i) * t^3 + INDIRECT("b_" &amp; i) * t^2 + INDIRECT("c_" &amp; i) * t^1 + INDIRECT("d_" &amp; i)</f>
        <v>0.25247942340976887</v>
      </c>
      <c r="F286" s="117" t="s">
        <v>322</v>
      </c>
      <c r="R286" s="120">
        <f t="array" aca="1" ref="R286" ca="1">E286:E586</f>
        <v>0.25247942340976887</v>
      </c>
      <c r="S286" s="121">
        <f t="shared" ca="1" si="161"/>
        <v>1.8642322539390313E-2</v>
      </c>
      <c r="T286" s="121">
        <f t="shared" ca="1" si="163"/>
        <v>-3.4071374982679245E-3</v>
      </c>
    </row>
    <row r="287" spans="3:20" s="74" customFormat="1" x14ac:dyDescent="0.2">
      <c r="C287" s="74">
        <v>30</v>
      </c>
      <c r="D287" s="74">
        <v>18.7</v>
      </c>
      <c r="E287" s="114">
        <f t="shared" ref="E287" ca="1" si="219">INDIRECT("a_" &amp; i) * t^3 + INDIRECT("b_" &amp; i) * t^2 + INDIRECT("c_" &amp; i) * t^1 + INDIRECT("d_" &amp; i)</f>
        <v>0.2543089430126359</v>
      </c>
      <c r="F287" s="117" t="s">
        <v>322</v>
      </c>
      <c r="R287" s="120">
        <f t="array" aca="1" ref="R287" ca="1">E287:E587</f>
        <v>0.2543089430126359</v>
      </c>
      <c r="S287" s="121">
        <f t="shared" ca="1" si="161"/>
        <v>1.8295196028670746E-2</v>
      </c>
      <c r="T287" s="121">
        <f t="shared" ca="1" si="163"/>
        <v>-3.4712651071957443E-3</v>
      </c>
    </row>
    <row r="288" spans="3:20" s="74" customFormat="1" x14ac:dyDescent="0.2">
      <c r="C288" s="74">
        <v>30</v>
      </c>
      <c r="D288" s="74">
        <v>18.8</v>
      </c>
      <c r="E288" s="114">
        <f t="shared" ref="E288" ca="1" si="220">INDIRECT("a_" &amp; i) * t^3 + INDIRECT("b_" &amp; i) * t^2 + INDIRECT("c_" &amp; i) * t^1 + INDIRECT("d_" &amp; i)</f>
        <v>0.25610310868834146</v>
      </c>
      <c r="F288" s="117" t="s">
        <v>322</v>
      </c>
      <c r="R288" s="120">
        <f t="array" aca="1" ref="R288" ca="1">E288:E588</f>
        <v>0.25610310868834146</v>
      </c>
      <c r="S288" s="121">
        <f t="shared" ca="1" si="161"/>
        <v>1.794165675705536E-2</v>
      </c>
      <c r="T288" s="121">
        <f t="shared" ca="1" si="163"/>
        <v>-3.5353927161538134E-3</v>
      </c>
    </row>
    <row r="289" spans="3:20" s="74" customFormat="1" x14ac:dyDescent="0.2">
      <c r="C289" s="74">
        <v>30</v>
      </c>
      <c r="D289" s="74">
        <v>18.899999999999999</v>
      </c>
      <c r="E289" s="114">
        <f t="shared" ref="E289" ca="1" si="221">INDIRECT("a_" &amp; i) * t^3 + INDIRECT("b_" &amp; i) * t^2 + INDIRECT("c_" &amp; i) * t^1 + INDIRECT("d_" &amp; i)</f>
        <v>0.25786127916079588</v>
      </c>
      <c r="F289" s="117" t="s">
        <v>322</v>
      </c>
      <c r="R289" s="120">
        <f t="array" aca="1" ref="R289" ca="1">E289:E589</f>
        <v>0.25786127916079588</v>
      </c>
      <c r="S289" s="121">
        <f t="shared" ca="1" si="161"/>
        <v>1.7581704724544497E-2</v>
      </c>
      <c r="T289" s="121">
        <f t="shared" ca="1" si="163"/>
        <v>-3.5995203251086992E-3</v>
      </c>
    </row>
    <row r="290" spans="3:20" s="74" customFormat="1" x14ac:dyDescent="0.2">
      <c r="C290" s="74">
        <v>30</v>
      </c>
      <c r="D290" s="74">
        <v>19</v>
      </c>
      <c r="E290" s="114">
        <f t="shared" ref="E290" ca="1" si="222">INDIRECT("a_" &amp; i) * t^3 + INDIRECT("b_" &amp; i) * t^2 + INDIRECT("c_" &amp; i) * t^1 + INDIRECT("d_" &amp; i)</f>
        <v>0.25958281315391069</v>
      </c>
      <c r="F290" s="117" t="s">
        <v>322</v>
      </c>
      <c r="R290" s="120">
        <f t="array" aca="1" ref="R290" ca="1">E290:E590</f>
        <v>0.25958281315391069</v>
      </c>
      <c r="S290" s="121">
        <f t="shared" ca="1" si="161"/>
        <v>1.7215339931147853E-2</v>
      </c>
      <c r="T290" s="121">
        <f t="shared" ca="1" si="163"/>
        <v>-3.6636479339663929E-3</v>
      </c>
    </row>
    <row r="291" spans="3:20" s="74" customFormat="1" x14ac:dyDescent="0.2">
      <c r="C291" s="74">
        <v>30</v>
      </c>
      <c r="D291" s="74">
        <v>19.100000000000001</v>
      </c>
      <c r="E291" s="114">
        <f t="shared" ref="E291" ca="1" si="223">INDIRECT("a_" &amp; i) * t^3 + INDIRECT("b_" &amp; i) * t^2 + INDIRECT("c_" &amp; i) * t^1 + INDIRECT("d_" &amp; i)</f>
        <v>0.26126706939159566</v>
      </c>
      <c r="F291" s="117" t="s">
        <v>322</v>
      </c>
      <c r="R291" s="120">
        <f t="array" aca="1" ref="R291" ca="1">E291:E591</f>
        <v>0.26126706939159566</v>
      </c>
      <c r="S291" s="121">
        <f t="shared" ca="1" si="161"/>
        <v>1.684256237684954E-2</v>
      </c>
      <c r="T291" s="121">
        <f t="shared" ca="1" si="163"/>
        <v>-3.7277755429830804E-3</v>
      </c>
    </row>
    <row r="292" spans="3:20" s="74" customFormat="1" x14ac:dyDescent="0.2">
      <c r="C292" s="74">
        <v>30</v>
      </c>
      <c r="D292" s="74">
        <v>19.2</v>
      </c>
      <c r="E292" s="114">
        <f t="shared" ref="E292" ca="1" si="224">INDIRECT("a_" &amp; i) * t^3 + INDIRECT("b_" &amp; i) * t^2 + INDIRECT("c_" &amp; i) * t^1 + INDIRECT("d_" &amp; i)</f>
        <v>0.26291340659776169</v>
      </c>
      <c r="F292" s="117" t="s">
        <v>322</v>
      </c>
      <c r="R292" s="120">
        <f t="array" aca="1" ref="R292" ca="1">E292:E592</f>
        <v>0.26291340659776169</v>
      </c>
      <c r="S292" s="121">
        <f t="shared" ca="1" si="161"/>
        <v>1.6463372061660615E-2</v>
      </c>
      <c r="T292" s="121">
        <f t="shared" ca="1" si="163"/>
        <v>-3.7919031518893311E-3</v>
      </c>
    </row>
    <row r="293" spans="3:20" s="74" customFormat="1" x14ac:dyDescent="0.2">
      <c r="C293" s="74">
        <v>30</v>
      </c>
      <c r="D293" s="74">
        <v>19.3</v>
      </c>
      <c r="E293" s="114">
        <f t="shared" ref="E293" ca="1" si="225">INDIRECT("a_" &amp; i) * t^3 + INDIRECT("b_" &amp; i) * t^2 + INDIRECT("c_" &amp; i) * t^1 + INDIRECT("d_" &amp; i)</f>
        <v>0.26452118349631953</v>
      </c>
      <c r="F293" s="117" t="s">
        <v>322</v>
      </c>
      <c r="R293" s="120">
        <f t="array" aca="1" ref="R293" ca="1">E293:E593</f>
        <v>0.26452118349631953</v>
      </c>
      <c r="S293" s="121">
        <f t="shared" ca="1" si="161"/>
        <v>1.6077768985578215E-2</v>
      </c>
      <c r="T293" s="121">
        <f t="shared" ca="1" si="163"/>
        <v>-3.8560307608239358E-3</v>
      </c>
    </row>
    <row r="294" spans="3:20" s="74" customFormat="1" x14ac:dyDescent="0.2">
      <c r="C294" s="74">
        <v>30</v>
      </c>
      <c r="D294" s="74">
        <v>19.399999999999999</v>
      </c>
      <c r="E294" s="114">
        <f t="shared" ref="E294" ca="1" si="226">INDIRECT("a_" &amp; i) * t^3 + INDIRECT("b_" &amp; i) * t^2 + INDIRECT("c_" &amp; i) * t^1 + INDIRECT("d_" &amp; i)</f>
        <v>0.26608975881117974</v>
      </c>
      <c r="F294" s="117" t="s">
        <v>322</v>
      </c>
      <c r="R294" s="120">
        <f t="array" aca="1" ref="R294" ca="1">E294:E594</f>
        <v>0.26608975881117974</v>
      </c>
      <c r="S294" s="121">
        <f t="shared" ref="S294:S357" ca="1" si="227">(R294-R293)/(D294-D293)</f>
        <v>1.5685753148602433E-2</v>
      </c>
      <c r="T294" s="121">
        <f t="shared" ca="1" si="163"/>
        <v>-3.9201583697579118E-3</v>
      </c>
    </row>
    <row r="295" spans="3:20" s="74" customFormat="1" x14ac:dyDescent="0.2">
      <c r="C295" s="74">
        <v>30</v>
      </c>
      <c r="D295" s="74">
        <v>19.5</v>
      </c>
      <c r="E295" s="114">
        <f t="shared" ref="E295" ca="1" si="228">INDIRECT("a_" &amp; i) * t^3 + INDIRECT("b_" &amp; i) * t^2 + INDIRECT("c_" &amp; i) * t^1 + INDIRECT("d_" &amp; i)</f>
        <v>0.26761849126625264</v>
      </c>
      <c r="F295" s="117" t="s">
        <v>322</v>
      </c>
      <c r="R295" s="120">
        <f t="array" aca="1" ref="R295" ca="1">E295:E595</f>
        <v>0.26761849126625264</v>
      </c>
      <c r="S295" s="121">
        <f t="shared" ca="1" si="227"/>
        <v>1.5287324550728792E-2</v>
      </c>
      <c r="T295" s="121">
        <f t="shared" ref="T295:T358" ca="1" si="229">(S295-S294)/(D295-D294)</f>
        <v>-3.9842859787363486E-3</v>
      </c>
    </row>
    <row r="296" spans="3:20" s="74" customFormat="1" x14ac:dyDescent="0.2">
      <c r="C296" s="74">
        <v>30</v>
      </c>
      <c r="D296" s="74">
        <v>19.600000000000001</v>
      </c>
      <c r="E296" s="114">
        <f t="shared" ref="E296" ca="1" si="230">INDIRECT("a_" &amp; i) * t^3 + INDIRECT("b_" &amp; i) * t^2 + INDIRECT("c_" &amp; i) * t^1 + INDIRECT("d_" &amp; i)</f>
        <v>0.26910673958544956</v>
      </c>
      <c r="F296" s="117" t="s">
        <v>322</v>
      </c>
      <c r="R296" s="120">
        <f t="array" aca="1" ref="R296" ca="1">E296:E596</f>
        <v>0.26910673958544956</v>
      </c>
      <c r="S296" s="121">
        <f t="shared" ca="1" si="227"/>
        <v>1.4882483191968953E-2</v>
      </c>
      <c r="T296" s="121">
        <f t="shared" ca="1" si="229"/>
        <v>-4.0484135875983335E-3</v>
      </c>
    </row>
    <row r="297" spans="3:20" s="74" customFormat="1" x14ac:dyDescent="0.2">
      <c r="C297" s="74">
        <v>30</v>
      </c>
      <c r="D297" s="74">
        <v>19.7</v>
      </c>
      <c r="E297" s="114">
        <f t="shared" ref="E297" ca="1" si="231">INDIRECT("a_" &amp; i) * t^3 + INDIRECT("b_" &amp; i) * t^2 + INDIRECT("c_" &amp; i) * t^1 + INDIRECT("d_" &amp; i)</f>
        <v>0.27055386249268026</v>
      </c>
      <c r="F297" s="117" t="s">
        <v>322</v>
      </c>
      <c r="R297" s="120">
        <f t="array" aca="1" ref="R297" ca="1">E297:E597</f>
        <v>0.27055386249268026</v>
      </c>
      <c r="S297" s="121">
        <f t="shared" ca="1" si="227"/>
        <v>1.4471229072307332E-2</v>
      </c>
      <c r="T297" s="121">
        <f t="shared" ca="1" si="229"/>
        <v>-4.1125411966162944E-3</v>
      </c>
    </row>
    <row r="298" spans="3:20" s="74" customFormat="1" x14ac:dyDescent="0.2">
      <c r="C298" s="74">
        <v>30</v>
      </c>
      <c r="D298" s="74">
        <v>19.8</v>
      </c>
      <c r="E298" s="114">
        <f t="shared" ref="E298" ca="1" si="232">INDIRECT("a_" &amp; i) * t^3 + INDIRECT("b_" &amp; i) * t^2 + INDIRECT("c_" &amp; i) * t^1 + INDIRECT("d_" &amp; i)</f>
        <v>0.27195921871185619</v>
      </c>
      <c r="F298" s="117" t="s">
        <v>322</v>
      </c>
      <c r="R298" s="120">
        <f t="array" aca="1" ref="R298" ca="1">E298:E598</f>
        <v>0.27195921871185619</v>
      </c>
      <c r="S298" s="121">
        <f t="shared" ca="1" si="227"/>
        <v>1.405356219175904E-2</v>
      </c>
      <c r="T298" s="121">
        <f t="shared" ca="1" si="229"/>
        <v>-4.1766688054828693E-3</v>
      </c>
    </row>
    <row r="299" spans="3:20" s="74" customFormat="1" x14ac:dyDescent="0.2">
      <c r="C299" s="74">
        <v>30</v>
      </c>
      <c r="D299" s="74">
        <v>19.899999999999999</v>
      </c>
      <c r="E299" s="114">
        <f t="shared" ref="E299" ca="1" si="233">INDIRECT("a_" &amp; i) * t^3 + INDIRECT("b_" &amp; i) * t^2 + INDIRECT("c_" &amp; i) * t^1 + INDIRECT("d_" &amp; i)</f>
        <v>0.27332216696688733</v>
      </c>
      <c r="F299" s="117" t="s">
        <v>322</v>
      </c>
      <c r="R299" s="120">
        <f t="array" aca="1" ref="R299" ca="1">E299:E599</f>
        <v>0.27332216696688733</v>
      </c>
      <c r="S299" s="121">
        <f t="shared" ca="1" si="227"/>
        <v>1.3629482550311668E-2</v>
      </c>
      <c r="T299" s="121">
        <f t="shared" ca="1" si="229"/>
        <v>-4.2407964144738075E-3</v>
      </c>
    </row>
    <row r="300" spans="3:20" s="74" customFormat="1" x14ac:dyDescent="0.2">
      <c r="C300" s="74">
        <v>30</v>
      </c>
      <c r="D300" s="74">
        <v>20</v>
      </c>
      <c r="E300" s="114">
        <f t="shared" ref="E300" ca="1" si="234">INDIRECT("a_" &amp; i) * t^3 + INDIRECT("b_" &amp; i) * t^2 + INDIRECT("c_" &amp; i) * t^1 + INDIRECT("d_" &amp; i)</f>
        <v>0.27464206598168478</v>
      </c>
      <c r="F300" s="117" t="s">
        <v>322</v>
      </c>
      <c r="R300" s="120">
        <f t="array" aca="1" ref="R300" ca="1">E300:E600</f>
        <v>0.27464206598168478</v>
      </c>
      <c r="S300" s="121">
        <f t="shared" ca="1" si="227"/>
        <v>1.3198990147974356E-2</v>
      </c>
      <c r="T300" s="121">
        <f t="shared" ca="1" si="229"/>
        <v>-4.3049240233730595E-3</v>
      </c>
    </row>
    <row r="301" spans="3:20" s="74" customFormat="1" x14ac:dyDescent="0.2">
      <c r="C301" s="74">
        <v>30</v>
      </c>
      <c r="D301" s="74">
        <v>20.100000000000001</v>
      </c>
      <c r="E301" s="114">
        <f t="shared" ref="E301" ca="1" si="235">INDIRECT("a_" &amp; i) * t^3 + INDIRECT("b_" &amp; i) * t^2 + INDIRECT("c_" &amp; i) * t^1 + INDIRECT("d_" &amp; i)</f>
        <v>0.27591827448015899</v>
      </c>
      <c r="F301" s="117" t="s">
        <v>322</v>
      </c>
      <c r="R301" s="120">
        <f t="array" aca="1" ref="R301" ca="1">E301:E601</f>
        <v>0.27591827448015899</v>
      </c>
      <c r="S301" s="121">
        <f t="shared" ca="1" si="227"/>
        <v>1.276208498474189E-2</v>
      </c>
      <c r="T301" s="121">
        <f t="shared" ca="1" si="229"/>
        <v>-4.3690516323245908E-3</v>
      </c>
    </row>
    <row r="302" spans="3:20" s="74" customFormat="1" x14ac:dyDescent="0.2">
      <c r="C302" s="74">
        <v>30</v>
      </c>
      <c r="D302" s="74">
        <v>20.2</v>
      </c>
      <c r="E302" s="114">
        <f t="shared" ref="E302" ca="1" si="236">INDIRECT("a_" &amp; i) * t^3 + INDIRECT("b_" &amp; i) * t^2 + INDIRECT("c_" &amp; i) * t^1 + INDIRECT("d_" &amp; i)</f>
        <v>0.27715015118622038</v>
      </c>
      <c r="F302" s="117" t="s">
        <v>322</v>
      </c>
      <c r="R302" s="120">
        <f t="array" aca="1" ref="R302" ca="1">E302:E602</f>
        <v>0.27715015118622038</v>
      </c>
      <c r="S302" s="121">
        <f t="shared" ca="1" si="227"/>
        <v>1.2318767060614228E-2</v>
      </c>
      <c r="T302" s="121">
        <f t="shared" ca="1" si="229"/>
        <v>-4.4331792412767137E-3</v>
      </c>
    </row>
    <row r="303" spans="3:20" s="74" customFormat="1" x14ac:dyDescent="0.2">
      <c r="C303" s="74">
        <v>30</v>
      </c>
      <c r="D303" s="74">
        <v>20.3</v>
      </c>
      <c r="E303" s="114">
        <f t="shared" ref="E303" ca="1" si="237">INDIRECT("a_" &amp; i) * t^3 + INDIRECT("b_" &amp; i) * t^2 + INDIRECT("c_" &amp; i) * t^1 + INDIRECT("d_" &amp; i)</f>
        <v>0.27833705482377996</v>
      </c>
      <c r="F303" s="117" t="s">
        <v>322</v>
      </c>
      <c r="R303" s="120">
        <f t="array" aca="1" ref="R303" ca="1">E303:E603</f>
        <v>0.27833705482377996</v>
      </c>
      <c r="S303" s="121">
        <f t="shared" ca="1" si="227"/>
        <v>1.1869036375595608E-2</v>
      </c>
      <c r="T303" s="121">
        <f t="shared" ca="1" si="229"/>
        <v>-4.4973068501861415E-3</v>
      </c>
    </row>
    <row r="304" spans="3:20" s="74" customFormat="1" x14ac:dyDescent="0.2">
      <c r="C304" s="74">
        <v>30</v>
      </c>
      <c r="D304" s="74">
        <v>20.399999999999999</v>
      </c>
      <c r="E304" s="114">
        <f t="shared" ref="E304" ca="1" si="238">INDIRECT("a_" &amp; i) * t^3 + INDIRECT("b_" &amp; i) * t^2 + INDIRECT("c_" &amp; i) * t^1 + INDIRECT("d_" &amp; i)</f>
        <v>0.27947834411674827</v>
      </c>
      <c r="F304" s="117" t="s">
        <v>322</v>
      </c>
      <c r="R304" s="120">
        <f t="array" aca="1" ref="R304" ca="1">E304:E604</f>
        <v>0.27947834411674827</v>
      </c>
      <c r="S304" s="121">
        <f t="shared" ca="1" si="227"/>
        <v>1.1412892929683303E-2</v>
      </c>
      <c r="T304" s="121">
        <f t="shared" ca="1" si="229"/>
        <v>-4.5614344591231419E-3</v>
      </c>
    </row>
    <row r="305" spans="3:20" s="74" customFormat="1" x14ac:dyDescent="0.2">
      <c r="C305" s="74">
        <v>30</v>
      </c>
      <c r="D305" s="74">
        <v>20.5</v>
      </c>
      <c r="E305" s="114">
        <f t="shared" ref="E305" ca="1" si="239">INDIRECT("a_" &amp; i) * t^3 + INDIRECT("b_" &amp; i) * t^2 + INDIRECT("c_" &amp; i) * t^1 + INDIRECT("d_" &amp; i)</f>
        <v>0.28057337778903552</v>
      </c>
      <c r="F305" s="117" t="s">
        <v>322</v>
      </c>
      <c r="R305" s="120">
        <f t="array" aca="1" ref="R305" ca="1">E305:E605</f>
        <v>0.28057337778903552</v>
      </c>
      <c r="S305" s="121">
        <f t="shared" ca="1" si="227"/>
        <v>1.0950336722872333E-2</v>
      </c>
      <c r="T305" s="121">
        <f t="shared" ca="1" si="229"/>
        <v>-4.6255620681096392E-3</v>
      </c>
    </row>
    <row r="306" spans="3:20" s="74" customFormat="1" x14ac:dyDescent="0.2">
      <c r="C306" s="74">
        <v>30</v>
      </c>
      <c r="D306" s="74">
        <v>20.6</v>
      </c>
      <c r="E306" s="114">
        <f t="shared" ref="E306" ca="1" si="240">INDIRECT("a_" &amp; i) * t^3 + INDIRECT("b_" &amp; i) * t^2 + INDIRECT("c_" &amp; i) * t^1 + INDIRECT("d_" &amp; i)</f>
        <v>0.28162151456455281</v>
      </c>
      <c r="F306" s="117" t="s">
        <v>322</v>
      </c>
      <c r="R306" s="120">
        <f t="array" aca="1" ref="R306" ca="1">E306:E606</f>
        <v>0.28162151456455281</v>
      </c>
      <c r="S306" s="121">
        <f t="shared" ca="1" si="227"/>
        <v>1.0481367755172794E-2</v>
      </c>
      <c r="T306" s="121">
        <f t="shared" ca="1" si="229"/>
        <v>-4.6896896769953204E-3</v>
      </c>
    </row>
    <row r="307" spans="3:20" s="74" customFormat="1" x14ac:dyDescent="0.2">
      <c r="C307" s="74">
        <v>30</v>
      </c>
      <c r="D307" s="74">
        <v>20.7</v>
      </c>
      <c r="E307" s="114">
        <f t="shared" ref="E307" ca="1" si="241">INDIRECT("a_" &amp; i) * t^3 + INDIRECT("b_" &amp; i) * t^2 + INDIRECT("c_" &amp; i) * t^1 + INDIRECT("d_" &amp; i)</f>
        <v>0.2826221131672107</v>
      </c>
      <c r="F307" s="117" t="s">
        <v>322</v>
      </c>
      <c r="R307" s="120">
        <f t="array" aca="1" ref="R307" ca="1">E307:E607</f>
        <v>0.2826221131672107</v>
      </c>
      <c r="S307" s="121">
        <f t="shared" ca="1" si="227"/>
        <v>1.0005986026579086E-2</v>
      </c>
      <c r="T307" s="121">
        <f t="shared" ca="1" si="229"/>
        <v>-4.753817285937185E-3</v>
      </c>
    </row>
    <row r="308" spans="3:20" s="74" customFormat="1" x14ac:dyDescent="0.2">
      <c r="C308" s="74">
        <v>30</v>
      </c>
      <c r="D308" s="74">
        <v>20.8</v>
      </c>
      <c r="E308" s="114">
        <f t="shared" ref="E308" ca="1" si="242">INDIRECT("a_" &amp; i) * t^3 + INDIRECT("b_" &amp; i) * t^2 + INDIRECT("c_" &amp; i) * t^1 + INDIRECT("d_" &amp; i)</f>
        <v>0.28357453232091973</v>
      </c>
      <c r="F308" s="117" t="s">
        <v>322</v>
      </c>
      <c r="R308" s="120">
        <f t="array" aca="1" ref="R308" ca="1">E308:E608</f>
        <v>0.28357453232091973</v>
      </c>
      <c r="S308" s="121">
        <f t="shared" ca="1" si="227"/>
        <v>9.524191537090141E-3</v>
      </c>
      <c r="T308" s="121">
        <f t="shared" ca="1" si="229"/>
        <v>-4.8179448948893798E-3</v>
      </c>
    </row>
    <row r="309" spans="3:20" s="74" customFormat="1" x14ac:dyDescent="0.2">
      <c r="C309" s="74">
        <v>30</v>
      </c>
      <c r="D309" s="74">
        <v>20.9</v>
      </c>
      <c r="E309" s="114">
        <f t="shared" ref="E309" ca="1" si="243">INDIRECT("a_" &amp; i) * t^3 + INDIRECT("b_" &amp; i) * t^2 + INDIRECT("c_" &amp; i) * t^1 + INDIRECT("d_" &amp; i)</f>
        <v>0.28447813074959066</v>
      </c>
      <c r="F309" s="117" t="s">
        <v>322</v>
      </c>
      <c r="R309" s="120">
        <f t="array" aca="1" ref="R309" ca="1">E309:E609</f>
        <v>0.28447813074959066</v>
      </c>
      <c r="S309" s="121">
        <f t="shared" ca="1" si="227"/>
        <v>9.0359842867095679E-3</v>
      </c>
      <c r="T309" s="121">
        <f t="shared" ca="1" si="229"/>
        <v>-4.882072503805835E-3</v>
      </c>
    </row>
    <row r="310" spans="3:20" s="74" customFormat="1" x14ac:dyDescent="0.2">
      <c r="C310" s="74">
        <v>30</v>
      </c>
      <c r="D310" s="74">
        <v>21</v>
      </c>
      <c r="E310" s="114">
        <f t="shared" ref="E310" ca="1" si="244">INDIRECT("a_" &amp; i) * t^3 + INDIRECT("b_" &amp; i) * t^2 + INDIRECT("c_" &amp; i) * t^1 + INDIRECT("d_" &amp; i)</f>
        <v>0.28533226717713395</v>
      </c>
      <c r="F310" s="117" t="s">
        <v>322</v>
      </c>
      <c r="R310" s="120">
        <f t="array" aca="1" ref="R310" ca="1">E310:E610</f>
        <v>0.28533226717713395</v>
      </c>
      <c r="S310" s="121">
        <f t="shared" ca="1" si="227"/>
        <v>8.5413642754327175E-3</v>
      </c>
      <c r="T310" s="121">
        <f t="shared" ca="1" si="229"/>
        <v>-4.9462001127684339E-3</v>
      </c>
    </row>
    <row r="311" spans="3:20" s="74" customFormat="1" x14ac:dyDescent="0.2">
      <c r="C311" s="74">
        <v>30</v>
      </c>
      <c r="D311" s="74">
        <v>21.1</v>
      </c>
      <c r="E311" s="114">
        <f t="shared" ref="E311" ca="1" si="245">INDIRECT("a_" &amp; i) * t^3 + INDIRECT("b_" &amp; i) * t^2 + INDIRECT("c_" &amp; i) * t^1 + INDIRECT("d_" &amp; i)</f>
        <v>0.28613630032746035</v>
      </c>
      <c r="F311" s="117" t="s">
        <v>322</v>
      </c>
      <c r="R311" s="120">
        <f t="array" aca="1" ref="R311" ca="1">E311:E611</f>
        <v>0.28613630032746035</v>
      </c>
      <c r="S311" s="121">
        <f t="shared" ca="1" si="227"/>
        <v>8.0403315032638832E-3</v>
      </c>
      <c r="T311" s="121">
        <f t="shared" ca="1" si="229"/>
        <v>-5.0103277216882718E-3</v>
      </c>
    </row>
    <row r="312" spans="3:20" s="74" customFormat="1" x14ac:dyDescent="0.2">
      <c r="C312" s="74">
        <v>30</v>
      </c>
      <c r="D312" s="74">
        <v>21.2</v>
      </c>
      <c r="E312" s="114">
        <f t="shared" ref="E312" ca="1" si="246">INDIRECT("a_" &amp; i) * t^3 + INDIRECT("b_" &amp; i) * t^2 + INDIRECT("c_" &amp; i) * t^1 + INDIRECT("d_" &amp; i)</f>
        <v>0.2868895889244803</v>
      </c>
      <c r="F312" s="117" t="s">
        <v>322</v>
      </c>
      <c r="R312" s="120">
        <f t="array" aca="1" ref="R312" ca="1">E312:E612</f>
        <v>0.2868895889244803</v>
      </c>
      <c r="S312" s="121">
        <f t="shared" ca="1" si="227"/>
        <v>7.5328859701996815E-3</v>
      </c>
      <c r="T312" s="121">
        <f t="shared" ca="1" si="229"/>
        <v>-5.0744553306421259E-3</v>
      </c>
    </row>
    <row r="313" spans="3:20" s="74" customFormat="1" x14ac:dyDescent="0.2">
      <c r="C313" s="74">
        <v>30</v>
      </c>
      <c r="D313" s="74">
        <v>21.3</v>
      </c>
      <c r="E313" s="114">
        <f t="shared" ref="E313" ca="1" si="247">INDIRECT("a_" &amp; i) * t^3 + INDIRECT("b_" &amp; i) * t^2 + INDIRECT("c_" &amp; i) * t^1 + INDIRECT("d_" &amp; i)</f>
        <v>0.28759149169210457</v>
      </c>
      <c r="F313" s="117" t="s">
        <v>322</v>
      </c>
      <c r="R313" s="120">
        <f t="array" aca="1" ref="R313" ca="1">E313:E613</f>
        <v>0.28759149169210457</v>
      </c>
      <c r="S313" s="121">
        <f t="shared" ca="1" si="227"/>
        <v>7.0190276762426397E-3</v>
      </c>
      <c r="T313" s="121">
        <f t="shared" ca="1" si="229"/>
        <v>-5.1385829395703443E-3</v>
      </c>
    </row>
    <row r="314" spans="3:20" s="74" customFormat="1" x14ac:dyDescent="0.2">
      <c r="C314" s="74">
        <v>30</v>
      </c>
      <c r="D314" s="74">
        <v>21.4</v>
      </c>
      <c r="E314" s="114">
        <f t="shared" ref="E314" ca="1" si="248">INDIRECT("a_" &amp; i) * t^3 + INDIRECT("b_" &amp; i) * t^2 + INDIRECT("c_" &amp; i) * t^1 + INDIRECT("d_" &amp; i)</f>
        <v>0.28824136735424361</v>
      </c>
      <c r="F314" s="117" t="s">
        <v>322</v>
      </c>
      <c r="R314" s="120">
        <f t="array" aca="1" ref="R314" ca="1">E314:E614</f>
        <v>0.28824136735424361</v>
      </c>
      <c r="S314" s="121">
        <f t="shared" ca="1" si="227"/>
        <v>6.4987566213904613E-3</v>
      </c>
      <c r="T314" s="121">
        <f t="shared" ca="1" si="229"/>
        <v>-5.2027105485218956E-3</v>
      </c>
    </row>
    <row r="315" spans="3:20" s="74" customFormat="1" x14ac:dyDescent="0.2">
      <c r="C315" s="74">
        <v>30</v>
      </c>
      <c r="D315" s="74">
        <v>21.5</v>
      </c>
      <c r="E315" s="114">
        <f t="shared" ref="E315" ca="1" si="249">INDIRECT("a_" &amp; i) * t^3 + INDIRECT("b_" &amp; i) * t^2 + INDIRECT("c_" &amp; i) * t^1 + INDIRECT("d_" &amp; i)</f>
        <v>0.2888385746348085</v>
      </c>
      <c r="F315" s="117" t="s">
        <v>322</v>
      </c>
      <c r="R315" s="120">
        <f t="array" aca="1" ref="R315" ca="1">E315:E615</f>
        <v>0.2888385746348085</v>
      </c>
      <c r="S315" s="121">
        <f t="shared" ca="1" si="227"/>
        <v>5.9720728056488464E-3</v>
      </c>
      <c r="T315" s="121">
        <f t="shared" ca="1" si="229"/>
        <v>-5.2668381574160743E-3</v>
      </c>
    </row>
    <row r="316" spans="3:20" s="74" customFormat="1" x14ac:dyDescent="0.2">
      <c r="C316" s="74">
        <v>30</v>
      </c>
      <c r="D316" s="74">
        <v>21.6</v>
      </c>
      <c r="E316" s="114">
        <f t="shared" ref="E316" ca="1" si="250">INDIRECT("a_" &amp; i) * t^3 + INDIRECT("b_" &amp; i) * t^2 + INDIRECT("c_" &amp; i) * t^1 + INDIRECT("d_" &amp; i)</f>
        <v>0.28938247225770958</v>
      </c>
      <c r="F316" s="117" t="s">
        <v>322</v>
      </c>
      <c r="R316" s="120">
        <f t="array" aca="1" ref="R316" ca="1">E316:E616</f>
        <v>0.28938247225770958</v>
      </c>
      <c r="S316" s="121">
        <f t="shared" ca="1" si="227"/>
        <v>5.4389762290107174E-3</v>
      </c>
      <c r="T316" s="121">
        <f t="shared" ca="1" si="229"/>
        <v>-5.3309657663812146E-3</v>
      </c>
    </row>
    <row r="317" spans="3:20" s="74" customFormat="1" x14ac:dyDescent="0.2">
      <c r="C317" s="74">
        <v>30</v>
      </c>
      <c r="D317" s="74">
        <v>21.7</v>
      </c>
      <c r="E317" s="114">
        <f t="shared" ref="E317" ca="1" si="251">INDIRECT("a_" &amp; i) * t^3 + INDIRECT("b_" &amp; i) * t^2 + INDIRECT("c_" &amp; i) * t^1 + INDIRECT("d_" &amp; i)</f>
        <v>0.28987241894685739</v>
      </c>
      <c r="F317" s="117" t="s">
        <v>322</v>
      </c>
      <c r="R317" s="120">
        <f t="array" aca="1" ref="R317" ca="1">E317:E617</f>
        <v>0.28987241894685739</v>
      </c>
      <c r="S317" s="121">
        <f t="shared" ca="1" si="227"/>
        <v>4.8994668914782366E-3</v>
      </c>
      <c r="T317" s="121">
        <f t="shared" ca="1" si="229"/>
        <v>-5.3950933753249232E-3</v>
      </c>
    </row>
    <row r="318" spans="3:20" s="74" customFormat="1" x14ac:dyDescent="0.2">
      <c r="C318" s="74">
        <v>30</v>
      </c>
      <c r="D318" s="74">
        <v>21.8</v>
      </c>
      <c r="E318" s="114">
        <f t="shared" ref="E318" ca="1" si="252">INDIRECT("a_" &amp; i) * t^3 + INDIRECT("b_" &amp; i) * t^2 + INDIRECT("c_" &amp; i) * t^1 + INDIRECT("d_" &amp; i)</f>
        <v>0.29030777342616282</v>
      </c>
      <c r="F318" s="117" t="s">
        <v>322</v>
      </c>
      <c r="R318" s="120">
        <f t="array" aca="1" ref="R318" ca="1">E318:E618</f>
        <v>0.29030777342616282</v>
      </c>
      <c r="S318" s="121">
        <f t="shared" ca="1" si="227"/>
        <v>4.3535447930542143E-3</v>
      </c>
      <c r="T318" s="121">
        <f t="shared" ca="1" si="229"/>
        <v>-5.4592209842401459E-3</v>
      </c>
    </row>
    <row r="319" spans="3:20" s="74" customFormat="1" x14ac:dyDescent="0.2">
      <c r="C319" s="74">
        <v>30</v>
      </c>
      <c r="D319" s="74">
        <v>21.9</v>
      </c>
      <c r="E319" s="114">
        <f t="shared" ref="E319" ca="1" si="253">INDIRECT("a_" &amp; i) * t^3 + INDIRECT("b_" &amp; i) * t^2 + INDIRECT("c_" &amp; i) * t^1 + INDIRECT("d_" &amp; i)</f>
        <v>0.29068789441953619</v>
      </c>
      <c r="F319" s="117" t="s">
        <v>322</v>
      </c>
      <c r="R319" s="120">
        <f t="array" aca="1" ref="R319" ca="1">E319:E619</f>
        <v>0.29068789441953619</v>
      </c>
      <c r="S319" s="121">
        <f t="shared" ca="1" si="227"/>
        <v>3.8012099337337546E-3</v>
      </c>
      <c r="T319" s="121">
        <f t="shared" ca="1" si="229"/>
        <v>-5.5233485932047145E-3</v>
      </c>
    </row>
    <row r="320" spans="3:20" s="74" customFormat="1" x14ac:dyDescent="0.2">
      <c r="C320" s="74">
        <v>30</v>
      </c>
      <c r="D320" s="74">
        <v>22</v>
      </c>
      <c r="E320" s="114">
        <f t="shared" ref="E320" ca="1" si="254">INDIRECT("a_" &amp; i) * t^3 + INDIRECT("b_" &amp; i) * t^2 + INDIRECT("c_" &amp; i) * t^1 + INDIRECT("d_" &amp; i)</f>
        <v>0.29101214065088793</v>
      </c>
      <c r="F320" s="117" t="s">
        <v>322</v>
      </c>
      <c r="R320" s="120">
        <f t="array" aca="1" ref="R320" ca="1">E320:E620</f>
        <v>0.29101214065088793</v>
      </c>
      <c r="S320" s="121">
        <f t="shared" ca="1" si="227"/>
        <v>3.2424623135173898E-3</v>
      </c>
      <c r="T320" s="121">
        <f t="shared" ca="1" si="229"/>
        <v>-5.5874762021635689E-3</v>
      </c>
    </row>
    <row r="321" spans="3:20" s="74" customFormat="1" x14ac:dyDescent="0.2">
      <c r="C321" s="74">
        <v>30</v>
      </c>
      <c r="D321" s="74">
        <v>22.1</v>
      </c>
      <c r="E321" s="114">
        <f t="shared" ref="E321" ca="1" si="255">INDIRECT("a_" &amp; i) * t^3 + INDIRECT("b_" &amp; i) * t^2 + INDIRECT("c_" &amp; i) * t^1 + INDIRECT("d_" &amp; i)</f>
        <v>0.29127987084412982</v>
      </c>
      <c r="F321" s="117" t="s">
        <v>322</v>
      </c>
      <c r="R321" s="120">
        <f t="array" aca="1" ref="R321" ca="1">E321:E621</f>
        <v>0.29127987084412982</v>
      </c>
      <c r="S321" s="121">
        <f t="shared" ca="1" si="227"/>
        <v>2.677301932418847E-3</v>
      </c>
      <c r="T321" s="121">
        <f t="shared" ca="1" si="229"/>
        <v>-5.6516038109853473E-3</v>
      </c>
    </row>
    <row r="322" spans="3:20" s="74" customFormat="1" x14ac:dyDescent="0.2">
      <c r="C322" s="74">
        <v>30</v>
      </c>
      <c r="D322" s="74">
        <v>22.2</v>
      </c>
      <c r="E322" s="114">
        <f t="shared" ref="E322" ca="1" si="256">INDIRECT("a_" &amp; i) * t^3 + INDIRECT("b_" &amp; i) * t^2 + INDIRECT("c_" &amp; i) * t^1 + INDIRECT("d_" &amp; i)</f>
        <v>0.29149044372317107</v>
      </c>
      <c r="F322" s="117" t="s">
        <v>322</v>
      </c>
      <c r="R322" s="120">
        <f t="array" aca="1" ref="R322" ca="1">E322:E622</f>
        <v>0.29149044372317107</v>
      </c>
      <c r="S322" s="121">
        <f t="shared" ca="1" si="227"/>
        <v>2.1057287904125317E-3</v>
      </c>
      <c r="T322" s="121">
        <f t="shared" ca="1" si="229"/>
        <v>-5.715731420063274E-3</v>
      </c>
    </row>
    <row r="323" spans="3:20" s="74" customFormat="1" x14ac:dyDescent="0.2">
      <c r="C323" s="74">
        <v>30</v>
      </c>
      <c r="D323" s="74">
        <v>22.3</v>
      </c>
      <c r="E323" s="114">
        <f t="shared" ref="E323" ca="1" si="257">INDIRECT("a_" &amp; i) * t^3 + INDIRECT("b_" &amp; i) * t^2 + INDIRECT("c_" &amp; i) * t^1 + INDIRECT("d_" &amp; i)</f>
        <v>0.29164321801192344</v>
      </c>
      <c r="F323" s="117" t="s">
        <v>322</v>
      </c>
      <c r="R323" s="120">
        <f t="array" aca="1" ref="R323" ca="1">E323:E623</f>
        <v>0.29164321801192344</v>
      </c>
      <c r="S323" s="121">
        <f t="shared" ca="1" si="227"/>
        <v>1.5277428875237536E-3</v>
      </c>
      <c r="T323" s="121">
        <f t="shared" ca="1" si="229"/>
        <v>-5.7798590288876987E-3</v>
      </c>
    </row>
    <row r="324" spans="3:20" s="74" customFormat="1" x14ac:dyDescent="0.2">
      <c r="C324" s="74">
        <v>30</v>
      </c>
      <c r="D324" s="74">
        <v>22.4</v>
      </c>
      <c r="E324" s="114">
        <f t="shared" ref="E324" ca="1" si="258">INDIRECT("a_" &amp; i) * t^3 + INDIRECT("b_" &amp; i) * t^2 + INDIRECT("c_" &amp; i) * t^1 + INDIRECT("d_" &amp; i)</f>
        <v>0.29173755243429672</v>
      </c>
      <c r="F324" s="117" t="s">
        <v>322</v>
      </c>
      <c r="R324" s="120">
        <f t="array" aca="1" ref="R324" ca="1">E324:E624</f>
        <v>0.29173755243429672</v>
      </c>
      <c r="S324" s="121">
        <f t="shared" ca="1" si="227"/>
        <v>9.4334422373278722E-4</v>
      </c>
      <c r="T324" s="121">
        <f t="shared" ca="1" si="229"/>
        <v>-5.8439866379097882E-3</v>
      </c>
    </row>
    <row r="325" spans="3:20" s="74" customFormat="1" x14ac:dyDescent="0.2">
      <c r="C325" s="74">
        <v>30</v>
      </c>
      <c r="D325" s="74">
        <v>22.5</v>
      </c>
      <c r="E325" s="114">
        <f t="shared" ref="E325" ca="1" si="259">INDIRECT("a_" &amp; i) * t^3 + INDIRECT("b_" &amp; i) * t^2 + INDIRECT("c_" &amp; i) * t^1 + INDIRECT("d_" &amp; i)</f>
        <v>0.291772805714202</v>
      </c>
      <c r="F325" s="117" t="s">
        <v>322</v>
      </c>
      <c r="R325" s="120">
        <f t="array" aca="1" ref="R325" ca="1">E325:E625</f>
        <v>0.291772805714202</v>
      </c>
      <c r="S325" s="121">
        <f t="shared" ca="1" si="227"/>
        <v>3.5253279905277991E-4</v>
      </c>
      <c r="T325" s="121">
        <f t="shared" ca="1" si="229"/>
        <v>-5.9081142467999892E-3</v>
      </c>
    </row>
    <row r="326" spans="3:20" s="74" customFormat="1" x14ac:dyDescent="0.2">
      <c r="C326" s="74">
        <v>30</v>
      </c>
      <c r="D326" s="74">
        <v>22.6</v>
      </c>
      <c r="E326" s="114">
        <f t="shared" ref="E326" ca="1" si="260">INDIRECT("a_" &amp; i) * t^3 + INDIRECT("b_" &amp; i) * t^2 + INDIRECT("c_" &amp; i) * t^1 + INDIRECT("d_" &amp; i)</f>
        <v>0.29174833657554938</v>
      </c>
      <c r="F326" s="117" t="s">
        <v>322</v>
      </c>
      <c r="R326" s="120">
        <f t="array" aca="1" ref="R326" ca="1">E326:E626</f>
        <v>0.29174833657554938</v>
      </c>
      <c r="S326" s="121">
        <f t="shared" ca="1" si="227"/>
        <v>-2.4469138652616004E-4</v>
      </c>
      <c r="T326" s="121">
        <f t="shared" ca="1" si="229"/>
        <v>-5.9722418557893149E-3</v>
      </c>
    </row>
    <row r="327" spans="3:20" s="74" customFormat="1" x14ac:dyDescent="0.2">
      <c r="C327" s="74">
        <v>30</v>
      </c>
      <c r="D327" s="74">
        <v>22.7</v>
      </c>
      <c r="E327" s="114">
        <f t="shared" ref="E327" ca="1" si="261">INDIRECT("a_" &amp; i) * t^3 + INDIRECT("b_" &amp; i) * t^2 + INDIRECT("c_" &amp; i) * t^1 + INDIRECT("d_" &amp; i)</f>
        <v>0.29166350374225031</v>
      </c>
      <c r="F327" s="117" t="s">
        <v>322</v>
      </c>
      <c r="R327" s="120">
        <f t="array" aca="1" ref="R327" ca="1">E327:E627</f>
        <v>0.29166350374225031</v>
      </c>
      <c r="S327" s="121">
        <f t="shared" ca="1" si="227"/>
        <v>-8.4832833299077349E-4</v>
      </c>
      <c r="T327" s="121">
        <f t="shared" ca="1" si="229"/>
        <v>-6.0363694646462631E-3</v>
      </c>
    </row>
    <row r="328" spans="3:20" s="74" customFormat="1" x14ac:dyDescent="0.2">
      <c r="C328" s="74">
        <v>30</v>
      </c>
      <c r="D328" s="74">
        <v>22.8</v>
      </c>
      <c r="E328" s="114">
        <f t="shared" ref="E328" ca="1" si="262">INDIRECT("a_" &amp; i) * t^3 + INDIRECT("b_" &amp; i) * t^2 + INDIRECT("c_" &amp; i) * t^1 + INDIRECT("d_" &amp; i)</f>
        <v>0.29151766593821499</v>
      </c>
      <c r="F328" s="117" t="s">
        <v>322</v>
      </c>
      <c r="R328" s="120">
        <f t="array" aca="1" ref="R328" ca="1">E328:E628</f>
        <v>0.29151766593821499</v>
      </c>
      <c r="S328" s="121">
        <f t="shared" ca="1" si="227"/>
        <v>-1.4583780403531824E-3</v>
      </c>
      <c r="T328" s="121">
        <f t="shared" ca="1" si="229"/>
        <v>-6.1004970736240017E-3</v>
      </c>
    </row>
    <row r="329" spans="3:20" s="74" customFormat="1" x14ac:dyDescent="0.2">
      <c r="C329" s="74">
        <v>30</v>
      </c>
      <c r="D329" s="74">
        <v>22.9</v>
      </c>
      <c r="E329" s="114">
        <f t="shared" ref="E329" ca="1" si="263">INDIRECT("a_" &amp; i) * t^3 + INDIRECT("b_" &amp; i) * t^2 + INDIRECT("c_" &amp; i) * t^1 + INDIRECT("d_" &amp; i)</f>
        <v>0.2913101818873543</v>
      </c>
      <c r="F329" s="117" t="s">
        <v>322</v>
      </c>
      <c r="R329" s="120">
        <f t="array" aca="1" ref="R329" ca="1">E329:E629</f>
        <v>0.2913101818873543</v>
      </c>
      <c r="S329" s="121">
        <f t="shared" ca="1" si="227"/>
        <v>-2.0748405086068898E-3</v>
      </c>
      <c r="T329" s="121">
        <f t="shared" ca="1" si="229"/>
        <v>-6.1646246825372061E-3</v>
      </c>
    </row>
    <row r="330" spans="3:20" s="74" customFormat="1" x14ac:dyDescent="0.2">
      <c r="C330" s="74">
        <v>30</v>
      </c>
      <c r="D330" s="74">
        <v>23</v>
      </c>
      <c r="E330" s="114">
        <f t="shared" ref="E330" ca="1" si="264">INDIRECT("a_" &amp; i) * t^3 + INDIRECT("b_" &amp; i) * t^2 + INDIRECT("c_" &amp; i) * t^1 + INDIRECT("d_" &amp; i)</f>
        <v>0.29104041031357802</v>
      </c>
      <c r="F330" s="117" t="s">
        <v>322</v>
      </c>
      <c r="R330" s="120">
        <f t="array" aca="1" ref="R330" ca="1">E330:E630</f>
        <v>0.29104041031357802</v>
      </c>
      <c r="S330" s="121">
        <f t="shared" ca="1" si="227"/>
        <v>-2.6977157377627466E-3</v>
      </c>
      <c r="T330" s="121">
        <f t="shared" ca="1" si="229"/>
        <v>-6.2287522915584793E-3</v>
      </c>
    </row>
    <row r="331" spans="3:20" s="74" customFormat="1" x14ac:dyDescent="0.2">
      <c r="C331" s="74">
        <v>30</v>
      </c>
      <c r="D331" s="74">
        <v>23.1</v>
      </c>
      <c r="E331" s="114">
        <f t="shared" ref="E331" ca="1" si="265">INDIRECT("a_" &amp; i) * t^3 + INDIRECT("b_" &amp; i) * t^2 + INDIRECT("c_" &amp; i) * t^1 + INDIRECT("d_" &amp; i)</f>
        <v>0.29070770994079803</v>
      </c>
      <c r="F331" s="117" t="s">
        <v>322</v>
      </c>
      <c r="R331" s="120">
        <f t="array" aca="1" ref="R331" ca="1">E331:E631</f>
        <v>0.29070770994079803</v>
      </c>
      <c r="S331" s="121">
        <f t="shared" ca="1" si="227"/>
        <v>-3.3270037277998792E-3</v>
      </c>
      <c r="T331" s="121">
        <f t="shared" ca="1" si="229"/>
        <v>-6.2928799003712371E-3</v>
      </c>
    </row>
    <row r="332" spans="3:20" s="74" customFormat="1" x14ac:dyDescent="0.2">
      <c r="C332" s="74">
        <v>30</v>
      </c>
      <c r="D332" s="74">
        <v>23.2</v>
      </c>
      <c r="E332" s="114">
        <f t="shared" ref="E332" ca="1" si="266">INDIRECT("a_" &amp; i) * t^3 + INDIRECT("b_" &amp; i) * t^2 + INDIRECT("c_" &amp; i) * t^1 + INDIRECT("d_" &amp; i)</f>
        <v>0.29031143949292398</v>
      </c>
      <c r="F332" s="117" t="s">
        <v>322</v>
      </c>
      <c r="R332" s="120">
        <f t="array" aca="1" ref="R332" ca="1">E332:E632</f>
        <v>0.29031143949292398</v>
      </c>
      <c r="S332" s="121">
        <f t="shared" ca="1" si="227"/>
        <v>-3.9627044787405594E-3</v>
      </c>
      <c r="T332" s="121">
        <f t="shared" ca="1" si="229"/>
        <v>-6.3570075094069372E-3</v>
      </c>
    </row>
    <row r="333" spans="3:20" s="74" customFormat="1" x14ac:dyDescent="0.2">
      <c r="C333" s="74">
        <v>30</v>
      </c>
      <c r="D333" s="74">
        <v>23.3</v>
      </c>
      <c r="E333" s="114">
        <f t="shared" ref="E333" ca="1" si="267">INDIRECT("a_" &amp; i) * t^3 + INDIRECT("b_" &amp; i) * t^2 + INDIRECT("c_" &amp; i) * t^1 + INDIRECT("d_" &amp; i)</f>
        <v>0.28985095769386676</v>
      </c>
      <c r="F333" s="117" t="s">
        <v>322</v>
      </c>
      <c r="R333" s="120">
        <f t="array" aca="1" ref="R333" ca="1">E333:E633</f>
        <v>0.28985095769386676</v>
      </c>
      <c r="S333" s="121">
        <f t="shared" ca="1" si="227"/>
        <v>-4.6048179905721536E-3</v>
      </c>
      <c r="T333" s="121">
        <f t="shared" ca="1" si="229"/>
        <v>-6.4211351183158507E-3</v>
      </c>
    </row>
    <row r="334" spans="3:20" s="74" customFormat="1" x14ac:dyDescent="0.2">
      <c r="C334" s="74">
        <v>30</v>
      </c>
      <c r="D334" s="74">
        <v>23.4</v>
      </c>
      <c r="E334" s="114">
        <f t="shared" ref="E334" ca="1" si="268">INDIRECT("a_" &amp; i) * t^3 + INDIRECT("b_" &amp; i) * t^2 + INDIRECT("c_" &amp; i) * t^1 + INDIRECT("d_" &amp; i)</f>
        <v>0.28932562326753747</v>
      </c>
      <c r="F334" s="117" t="s">
        <v>322</v>
      </c>
      <c r="R334" s="120">
        <f t="array" aca="1" ref="R334" ca="1">E334:E634</f>
        <v>0.28932562326753747</v>
      </c>
      <c r="S334" s="121">
        <f t="shared" ca="1" si="227"/>
        <v>-5.253344263293048E-3</v>
      </c>
      <c r="T334" s="121">
        <f t="shared" ca="1" si="229"/>
        <v>-6.4852627272090823E-3</v>
      </c>
    </row>
    <row r="335" spans="3:20" s="74" customFormat="1" x14ac:dyDescent="0.2">
      <c r="C335" s="74">
        <v>30</v>
      </c>
      <c r="D335" s="74">
        <v>23.5</v>
      </c>
      <c r="E335" s="114">
        <f t="shared" ref="E335" ca="1" si="269">INDIRECT("a_" &amp; i) * t^3 + INDIRECT("b_" &amp; i) * t^2 + INDIRECT("c_" &amp; i) * t^1 + INDIRECT("d_" &amp; i)</f>
        <v>0.28873479493784587</v>
      </c>
      <c r="F335" s="117" t="s">
        <v>322</v>
      </c>
      <c r="R335" s="120">
        <f t="array" aca="1" ref="R335" ca="1">E335:E635</f>
        <v>0.28873479493784587</v>
      </c>
      <c r="S335" s="121">
        <f t="shared" ca="1" si="227"/>
        <v>-5.9082832969158663E-3</v>
      </c>
      <c r="T335" s="121">
        <f t="shared" ca="1" si="229"/>
        <v>-6.5493903362280901E-3</v>
      </c>
    </row>
    <row r="336" spans="3:20" s="74" customFormat="1" x14ac:dyDescent="0.2">
      <c r="C336" s="74">
        <v>30</v>
      </c>
      <c r="D336" s="74">
        <v>23.6</v>
      </c>
      <c r="E336" s="114">
        <f t="shared" ref="E336" ca="1" si="270">INDIRECT("a_" &amp; i) * t^3 + INDIRECT("b_" &amp; i) * t^2 + INDIRECT("c_" &amp; i) * t^1 + INDIRECT("d_" &amp; i)</f>
        <v>0.28807783142870363</v>
      </c>
      <c r="F336" s="117" t="s">
        <v>322</v>
      </c>
      <c r="R336" s="120">
        <f t="array" aca="1" ref="R336" ca="1">E336:E636</f>
        <v>0.28807783142870363</v>
      </c>
      <c r="S336" s="121">
        <f t="shared" ca="1" si="227"/>
        <v>-6.5696350914222941E-3</v>
      </c>
      <c r="T336" s="121">
        <f t="shared" ca="1" si="229"/>
        <v>-6.6135179450641842E-3</v>
      </c>
    </row>
    <row r="337" spans="3:20" s="74" customFormat="1" x14ac:dyDescent="0.2">
      <c r="C337" s="74">
        <v>30</v>
      </c>
      <c r="D337" s="74">
        <v>23.7</v>
      </c>
      <c r="E337" s="114">
        <f t="shared" ref="E337" ca="1" si="271">INDIRECT("a_" &amp; i) * t^3 + INDIRECT("b_" &amp; i) * t^2 + INDIRECT("c_" &amp; i) * t^1 + INDIRECT("d_" &amp; i)</f>
        <v>0.28735409146402041</v>
      </c>
      <c r="F337" s="117" t="s">
        <v>322</v>
      </c>
      <c r="R337" s="120">
        <f t="array" aca="1" ref="R337" ca="1">E337:E637</f>
        <v>0.28735409146402041</v>
      </c>
      <c r="S337" s="121">
        <f t="shared" ca="1" si="227"/>
        <v>-7.2373996468323865E-3</v>
      </c>
      <c r="T337" s="121">
        <f t="shared" ca="1" si="229"/>
        <v>-6.6776455541010665E-3</v>
      </c>
    </row>
    <row r="338" spans="3:20" s="74" customFormat="1" x14ac:dyDescent="0.2">
      <c r="C338" s="74">
        <v>30</v>
      </c>
      <c r="D338" s="74">
        <v>23.8</v>
      </c>
      <c r="E338" s="114">
        <f t="shared" ref="E338" ca="1" si="272">INDIRECT("a_" &amp; i) * t^3 + INDIRECT("b_" &amp; i) * t^2 + INDIRECT("c_" &amp; i) * t^1 + INDIRECT("d_" &amp; i)</f>
        <v>0.28656293376770775</v>
      </c>
      <c r="F338" s="117" t="s">
        <v>322</v>
      </c>
      <c r="R338" s="120">
        <f t="array" aca="1" ref="R338" ca="1">E338:E638</f>
        <v>0.28656293376770775</v>
      </c>
      <c r="S338" s="121">
        <f t="shared" ca="1" si="227"/>
        <v>-7.911576963126497E-3</v>
      </c>
      <c r="T338" s="121">
        <f t="shared" ca="1" si="229"/>
        <v>-6.7417731629410092E-3</v>
      </c>
    </row>
    <row r="339" spans="3:20" s="74" customFormat="1" x14ac:dyDescent="0.2">
      <c r="C339" s="74">
        <v>30</v>
      </c>
      <c r="D339" s="74">
        <v>23.9</v>
      </c>
      <c r="E339" s="114">
        <f t="shared" ref="E339" ca="1" si="273">INDIRECT("a_" &amp; i) * t^3 + INDIRECT("b_" &amp; i) * t^2 + INDIRECT("c_" &amp; i) * t^1 + INDIRECT("d_" &amp; i)</f>
        <v>0.28570371706367498</v>
      </c>
      <c r="F339" s="117" t="s">
        <v>322</v>
      </c>
      <c r="R339" s="120">
        <f t="array" aca="1" ref="R339" ca="1">E339:E639</f>
        <v>0.28570371706367498</v>
      </c>
      <c r="S339" s="121">
        <f t="shared" ca="1" si="227"/>
        <v>-8.5921670403279089E-3</v>
      </c>
      <c r="T339" s="121">
        <f t="shared" ca="1" si="229"/>
        <v>-6.8059007720142643E-3</v>
      </c>
    </row>
    <row r="340" spans="3:20" s="74" customFormat="1" x14ac:dyDescent="0.2">
      <c r="C340" s="74">
        <v>30</v>
      </c>
      <c r="D340" s="74">
        <v>24</v>
      </c>
      <c r="E340" s="114">
        <f t="shared" ref="E340" ca="1" si="274">INDIRECT("a_" &amp; i) * t^3 + INDIRECT("b_" &amp; i) * t^2 + INDIRECT("c_" &amp; i) * t^1 + INDIRECT("d_" &amp; i)</f>
        <v>0.28477580007583431</v>
      </c>
      <c r="F340" s="117" t="s">
        <v>322</v>
      </c>
      <c r="R340" s="120">
        <f t="array" aca="1" ref="R340" ca="1">E340:E640</f>
        <v>0.28477580007583431</v>
      </c>
      <c r="S340" s="121">
        <f t="shared" ca="1" si="227"/>
        <v>-9.2791698784065804E-3</v>
      </c>
      <c r="T340" s="121">
        <f t="shared" ca="1" si="229"/>
        <v>-6.8700283807866169E-3</v>
      </c>
    </row>
    <row r="341" spans="3:20" s="74" customFormat="1" x14ac:dyDescent="0.2">
      <c r="C341" s="74">
        <v>30</v>
      </c>
      <c r="D341" s="74">
        <v>24.1</v>
      </c>
      <c r="E341" s="114">
        <f t="shared" ref="E341" ca="1" si="275">INDIRECT("a_" &amp; i) * t^3 + INDIRECT("b_" &amp; i) * t^2 + INDIRECT("c_" &amp; i) * t^1 + INDIRECT("d_" &amp; i)</f>
        <v>0.28377854152809495</v>
      </c>
      <c r="F341" s="117" t="s">
        <v>322</v>
      </c>
      <c r="R341" s="120">
        <f t="array" aca="1" ref="R341" ca="1">E341:E641</f>
        <v>0.28377854152809495</v>
      </c>
      <c r="S341" s="121">
        <f t="shared" ca="1" si="227"/>
        <v>-9.9725854773934051E-3</v>
      </c>
      <c r="T341" s="121">
        <f t="shared" ca="1" si="229"/>
        <v>-6.9341559898681484E-3</v>
      </c>
    </row>
    <row r="342" spans="3:20" s="74" customFormat="1" x14ac:dyDescent="0.2">
      <c r="C342" s="74">
        <v>30</v>
      </c>
      <c r="D342" s="74">
        <v>24.2</v>
      </c>
      <c r="E342" s="114">
        <f t="shared" ref="E342" ca="1" si="276">INDIRECT("a_" &amp; i) * t^3 + INDIRECT("b_" &amp; i) * t^2 + INDIRECT("c_" &amp; i) * t^1 + INDIRECT("d_" &amp; i)</f>
        <v>0.28271130014436879</v>
      </c>
      <c r="F342" s="117" t="s">
        <v>322</v>
      </c>
      <c r="R342" s="120">
        <f t="array" aca="1" ref="R342" ca="1">E342:E642</f>
        <v>0.28271130014436879</v>
      </c>
      <c r="S342" s="121">
        <f t="shared" ca="1" si="227"/>
        <v>-1.0672413837261812E-2</v>
      </c>
      <c r="T342" s="121">
        <f t="shared" ca="1" si="229"/>
        <v>-6.9982835986842212E-3</v>
      </c>
    </row>
    <row r="343" spans="3:20" s="74" customFormat="1" x14ac:dyDescent="0.2">
      <c r="C343" s="74">
        <v>30</v>
      </c>
      <c r="D343" s="74">
        <v>24.3</v>
      </c>
      <c r="E343" s="114">
        <f t="shared" ref="E343" ca="1" si="277">INDIRECT("a_" &amp; i) * t^3 + INDIRECT("b_" &amp; i) * t^2 + INDIRECT("c_" &amp; i) * t^1 + INDIRECT("d_" &amp; i)</f>
        <v>0.2815734346485656</v>
      </c>
      <c r="F343" s="117" t="s">
        <v>322</v>
      </c>
      <c r="R343" s="120">
        <f t="array" aca="1" ref="R343" ca="1">E343:E643</f>
        <v>0.2815734346485656</v>
      </c>
      <c r="S343" s="121">
        <f t="shared" ca="1" si="227"/>
        <v>-1.1378654958031758E-2</v>
      </c>
      <c r="T343" s="121">
        <f t="shared" ca="1" si="229"/>
        <v>-7.0624112076993588E-3</v>
      </c>
    </row>
    <row r="344" spans="3:20" s="74" customFormat="1" x14ac:dyDescent="0.2">
      <c r="C344" s="74">
        <v>30</v>
      </c>
      <c r="D344" s="74">
        <v>24.4</v>
      </c>
      <c r="E344" s="114">
        <f t="shared" ref="E344" ca="1" si="278">INDIRECT("a_" &amp; i) * t^3 + INDIRECT("b_" &amp; i) * t^2 + INDIRECT("c_" &amp; i) * t^1 + INDIRECT("d_" &amp; i)</f>
        <v>0.28036430376459626</v>
      </c>
      <c r="F344" s="117" t="s">
        <v>322</v>
      </c>
      <c r="R344" s="120">
        <f t="array" aca="1" ref="R344" ca="1">E344:E644</f>
        <v>0.28036430376459626</v>
      </c>
      <c r="S344" s="121">
        <f t="shared" ca="1" si="227"/>
        <v>-1.2091308839693707E-2</v>
      </c>
      <c r="T344" s="121">
        <f t="shared" ca="1" si="229"/>
        <v>-7.1265388166196408E-3</v>
      </c>
    </row>
    <row r="345" spans="3:20" s="74" customFormat="1" x14ac:dyDescent="0.2">
      <c r="C345" s="74">
        <v>30</v>
      </c>
      <c r="D345" s="74">
        <v>24.5</v>
      </c>
      <c r="E345" s="114">
        <f t="shared" ref="E345" ca="1" si="279">INDIRECT("a_" &amp; i) * t^3 + INDIRECT("b_" &amp; i) * t^2 + INDIRECT("c_" &amp; i) * t^1 + INDIRECT("d_" &amp; i)</f>
        <v>0.27908326621637142</v>
      </c>
      <c r="F345" s="117" t="s">
        <v>322</v>
      </c>
      <c r="R345" s="120">
        <f t="array" aca="1" ref="R345" ca="1">E345:E645</f>
        <v>0.27908326621637142</v>
      </c>
      <c r="S345" s="121">
        <f t="shared" ca="1" si="227"/>
        <v>-1.2810375482248211E-2</v>
      </c>
      <c r="T345" s="121">
        <f t="shared" ca="1" si="229"/>
        <v>-7.1906664255449327E-3</v>
      </c>
    </row>
    <row r="346" spans="3:20" s="74" customFormat="1" x14ac:dyDescent="0.2">
      <c r="C346" s="74">
        <v>30</v>
      </c>
      <c r="D346" s="74">
        <v>24.6</v>
      </c>
      <c r="E346" s="114">
        <f t="shared" ref="E346" ca="1" si="280">INDIRECT("a_" &amp; i) * t^3 + INDIRECT("b_" &amp; i) * t^2 + INDIRECT("c_" &amp; i) * t^1 + INDIRECT("d_" &amp; i)</f>
        <v>0.27772968072780185</v>
      </c>
      <c r="F346" s="117" t="s">
        <v>322</v>
      </c>
      <c r="R346" s="120">
        <f t="array" aca="1" ref="R346" ca="1">E346:E646</f>
        <v>0.27772968072780185</v>
      </c>
      <c r="S346" s="121">
        <f t="shared" ca="1" si="227"/>
        <v>-1.3535854885695449E-2</v>
      </c>
      <c r="T346" s="121">
        <f t="shared" ca="1" si="229"/>
        <v>-7.254794034472282E-3</v>
      </c>
    </row>
    <row r="347" spans="3:20" s="74" customFormat="1" x14ac:dyDescent="0.2">
      <c r="C347" s="74">
        <v>30</v>
      </c>
      <c r="D347" s="74">
        <v>24.7</v>
      </c>
      <c r="E347" s="114">
        <f t="shared" ref="E347" ca="1" si="281">INDIRECT("a_" &amp; i) * t^3 + INDIRECT("b_" &amp; i) * t^2 + INDIRECT("c_" &amp; i) * t^1 + INDIRECT("d_" &amp; i)</f>
        <v>0.27630290602279733</v>
      </c>
      <c r="F347" s="117" t="s">
        <v>322</v>
      </c>
      <c r="R347" s="120">
        <f t="array" aca="1" ref="R347" ca="1">E347:E647</f>
        <v>0.27630290602279733</v>
      </c>
      <c r="S347" s="121">
        <f t="shared" ca="1" si="227"/>
        <v>-1.4267747050045491E-2</v>
      </c>
      <c r="T347" s="121">
        <f t="shared" ca="1" si="229"/>
        <v>-7.3189216435005748E-3</v>
      </c>
    </row>
    <row r="348" spans="3:20" s="74" customFormat="1" x14ac:dyDescent="0.2">
      <c r="C348" s="74">
        <v>30</v>
      </c>
      <c r="D348" s="74">
        <v>24.8</v>
      </c>
      <c r="E348" s="114">
        <f t="shared" ref="E348" ca="1" si="282">INDIRECT("a_" &amp; i) * t^3 + INDIRECT("b_" &amp; i) * t^2 + INDIRECT("c_" &amp; i) * t^1 + INDIRECT("d_" &amp; i)</f>
        <v>0.27480230082527007</v>
      </c>
      <c r="F348" s="117" t="s">
        <v>322</v>
      </c>
      <c r="R348" s="120">
        <f t="array" aca="1" ref="R348" ca="1">E348:E648</f>
        <v>0.27480230082527007</v>
      </c>
      <c r="S348" s="121">
        <f t="shared" ca="1" si="227"/>
        <v>-1.5006051975272392E-2</v>
      </c>
      <c r="T348" s="121">
        <f t="shared" ca="1" si="229"/>
        <v>-7.383049252268902E-3</v>
      </c>
    </row>
    <row r="349" spans="3:20" s="74" customFormat="1" x14ac:dyDescent="0.2">
      <c r="C349" s="74">
        <v>30</v>
      </c>
      <c r="D349" s="74">
        <v>24.9</v>
      </c>
      <c r="E349" s="114">
        <f t="shared" ref="E349" ca="1" si="283">INDIRECT("a_" &amp; i) * t^3 + INDIRECT("b_" &amp; i) * t^2 + INDIRECT("c_" &amp; i) * t^1 + INDIRECT("d_" &amp; i)</f>
        <v>0.27322722385912951</v>
      </c>
      <c r="F349" s="117" t="s">
        <v>322</v>
      </c>
      <c r="R349" s="120">
        <f t="array" aca="1" ref="R349" ca="1">E349:E649</f>
        <v>0.27322722385912951</v>
      </c>
      <c r="S349" s="121">
        <f t="shared" ca="1" si="227"/>
        <v>-1.5750769661405987E-2</v>
      </c>
      <c r="T349" s="121">
        <f t="shared" ca="1" si="229"/>
        <v>-7.447176861336109E-3</v>
      </c>
    </row>
    <row r="350" spans="3:20" s="74" customFormat="1" x14ac:dyDescent="0.2">
      <c r="C350" s="74">
        <v>30</v>
      </c>
      <c r="D350" s="74">
        <v>25</v>
      </c>
      <c r="E350" s="114">
        <f t="shared" ref="E350" ca="1" si="284">INDIRECT("a_" &amp; i) * t^3 + INDIRECT("b_" &amp; i) * t^2 + INDIRECT("c_" &amp; i) * t^1 + INDIRECT("d_" &amp; i)</f>
        <v>0.27157703384828608</v>
      </c>
      <c r="F350" s="117" t="s">
        <v>322</v>
      </c>
      <c r="R350" s="120">
        <f t="array" aca="1" ref="R350" ca="1">E350:E650</f>
        <v>0.27157703384828608</v>
      </c>
      <c r="S350" s="121">
        <f t="shared" ca="1" si="227"/>
        <v>-1.6501900108434095E-2</v>
      </c>
      <c r="T350" s="121">
        <f t="shared" ca="1" si="229"/>
        <v>-7.5113044702809747E-3</v>
      </c>
    </row>
    <row r="351" spans="3:20" s="74" customFormat="1" x14ac:dyDescent="0.2">
      <c r="C351" s="74">
        <v>30</v>
      </c>
      <c r="D351" s="74">
        <v>25.1</v>
      </c>
      <c r="E351" s="114">
        <f t="shared" ref="E351" ca="1" si="285">INDIRECT("a_" &amp; i) * t^3 + INDIRECT("b_" &amp; i) * t^2 + INDIRECT("c_" &amp; i) * t^1 + INDIRECT("d_" &amp; i)</f>
        <v>0.26985108951665143</v>
      </c>
      <c r="F351" s="117" t="s">
        <v>322</v>
      </c>
      <c r="R351" s="120">
        <f t="array" aca="1" ref="R351" ca="1">E351:E651</f>
        <v>0.26985108951665143</v>
      </c>
      <c r="S351" s="121">
        <f t="shared" ca="1" si="227"/>
        <v>-1.7259443316346188E-2</v>
      </c>
      <c r="T351" s="121">
        <f t="shared" ca="1" si="229"/>
        <v>-7.5754320791208245E-3</v>
      </c>
    </row>
    <row r="352" spans="3:20" s="74" customFormat="1" x14ac:dyDescent="0.2">
      <c r="C352" s="74">
        <v>30</v>
      </c>
      <c r="D352" s="74">
        <v>25.2</v>
      </c>
      <c r="E352" s="114">
        <f t="shared" ref="E352" ca="1" si="286">INDIRECT("a_" &amp; i) * t^3 + INDIRECT("b_" &amp; i) * t^2 + INDIRECT("c_" &amp; i) * t^1 + INDIRECT("d_" &amp; i)</f>
        <v>0.2680487495881359</v>
      </c>
      <c r="F352" s="117" t="s">
        <v>322</v>
      </c>
      <c r="R352" s="120">
        <f t="array" aca="1" ref="R352" ca="1">E352:E652</f>
        <v>0.2680487495881359</v>
      </c>
      <c r="S352" s="121">
        <f t="shared" ca="1" si="227"/>
        <v>-1.8023399285155669E-2</v>
      </c>
      <c r="T352" s="121">
        <f t="shared" ca="1" si="229"/>
        <v>-7.6395596880949705E-3</v>
      </c>
    </row>
    <row r="353" spans="3:20" s="74" customFormat="1" x14ac:dyDescent="0.2">
      <c r="C353" s="74">
        <v>30</v>
      </c>
      <c r="D353" s="74">
        <v>25.3</v>
      </c>
      <c r="E353" s="114">
        <f t="shared" ref="E353" ca="1" si="287">INDIRECT("a_" &amp; i) * t^3 + INDIRECT("b_" &amp; i) * t^2 + INDIRECT("c_" &amp; i) * t^1 + INDIRECT("d_" &amp; i)</f>
        <v>0.26616937278664948</v>
      </c>
      <c r="F353" s="117" t="s">
        <v>322</v>
      </c>
      <c r="R353" s="120">
        <f t="array" aca="1" ref="R353" ca="1">E353:E653</f>
        <v>0.26616937278664948</v>
      </c>
      <c r="S353" s="121">
        <f t="shared" ca="1" si="227"/>
        <v>-1.8793768014863942E-2</v>
      </c>
      <c r="T353" s="121">
        <f t="shared" ca="1" si="229"/>
        <v>-7.7036872970826249E-3</v>
      </c>
    </row>
    <row r="354" spans="3:20" s="74" customFormat="1" x14ac:dyDescent="0.2">
      <c r="C354" s="74">
        <v>30</v>
      </c>
      <c r="D354" s="74">
        <v>25.4</v>
      </c>
      <c r="E354" s="114">
        <f t="shared" ref="E354" ca="1" si="288">INDIRECT("a_" &amp; i) * t^3 + INDIRECT("b_" &amp; i) * t^2 + INDIRECT("c_" &amp; i) * t^1 + INDIRECT("d_" &amp; i)</f>
        <v>0.26421231783610372</v>
      </c>
      <c r="F354" s="117" t="s">
        <v>322</v>
      </c>
      <c r="R354" s="120">
        <f t="array" aca="1" ref="R354" ca="1">E354:E654</f>
        <v>0.26421231783610372</v>
      </c>
      <c r="S354" s="121">
        <f t="shared" ca="1" si="227"/>
        <v>-1.9570549505458085E-2</v>
      </c>
      <c r="T354" s="121">
        <f t="shared" ca="1" si="229"/>
        <v>-7.7678149059415896E-3</v>
      </c>
    </row>
    <row r="355" spans="3:20" s="74" customFormat="1" x14ac:dyDescent="0.2">
      <c r="C355" s="74">
        <v>30</v>
      </c>
      <c r="D355" s="74">
        <v>25.5</v>
      </c>
      <c r="E355" s="114">
        <f t="shared" ref="E355" ca="1" si="289">INDIRECT("a_" &amp; i) * t^3 + INDIRECT("b_" &amp; i) * t^2 + INDIRECT("c_" &amp; i) * t^1 + INDIRECT("d_" &amp; i)</f>
        <v>0.26217694346040793</v>
      </c>
      <c r="F355" s="117" t="s">
        <v>322</v>
      </c>
      <c r="R355" s="120">
        <f t="array" aca="1" ref="R355" ca="1">E355:E655</f>
        <v>0.26217694346040793</v>
      </c>
      <c r="S355" s="121">
        <f t="shared" ca="1" si="227"/>
        <v>-2.0353743756957577E-2</v>
      </c>
      <c r="T355" s="121">
        <f t="shared" ca="1" si="229"/>
        <v>-7.8319425149948121E-3</v>
      </c>
    </row>
    <row r="356" spans="3:20" s="74" customFormat="1" x14ac:dyDescent="0.2">
      <c r="C356" s="74">
        <v>30</v>
      </c>
      <c r="D356" s="74">
        <v>25.6</v>
      </c>
      <c r="E356" s="114">
        <f t="shared" ref="E356" ca="1" si="290">INDIRECT("a_" &amp; i) * t^3 + INDIRECT("b_" &amp; i) * t^2 + INDIRECT("c_" &amp; i) * t^1 + INDIRECT("d_" &amp; i)</f>
        <v>0.260062608383474</v>
      </c>
      <c r="F356" s="117" t="s">
        <v>322</v>
      </c>
      <c r="R356" s="120">
        <f t="array" aca="1" ref="R356" ca="1">E356:E656</f>
        <v>0.260062608383474</v>
      </c>
      <c r="S356" s="121">
        <f t="shared" ca="1" si="227"/>
        <v>-2.1143350769338962E-2</v>
      </c>
      <c r="T356" s="121">
        <f t="shared" ca="1" si="229"/>
        <v>-7.8960701238137403E-3</v>
      </c>
    </row>
    <row r="357" spans="3:20" s="74" customFormat="1" x14ac:dyDescent="0.2">
      <c r="C357" s="74">
        <v>30</v>
      </c>
      <c r="D357" s="74">
        <v>25.7</v>
      </c>
      <c r="E357" s="114">
        <f t="shared" ref="E357" ca="1" si="291">INDIRECT("a_" &amp; i) * t^3 + INDIRECT("b_" &amp; i) * t^2 + INDIRECT("c_" &amp; i) * t^1 + INDIRECT("d_" &amp; i)</f>
        <v>0.25786867132921204</v>
      </c>
      <c r="F357" s="117" t="s">
        <v>322</v>
      </c>
      <c r="R357" s="120">
        <f t="array" aca="1" ref="R357" ca="1">E357:E657</f>
        <v>0.25786867132921204</v>
      </c>
      <c r="S357" s="121">
        <f t="shared" ca="1" si="227"/>
        <v>-2.1939370542620098E-2</v>
      </c>
      <c r="T357" s="121">
        <f t="shared" ca="1" si="229"/>
        <v>-7.9601977328115255E-3</v>
      </c>
    </row>
    <row r="358" spans="3:20" s="74" customFormat="1" x14ac:dyDescent="0.2">
      <c r="C358" s="74">
        <v>30</v>
      </c>
      <c r="D358" s="74">
        <v>25.8</v>
      </c>
      <c r="E358" s="114">
        <f t="shared" ref="E358" ca="1" si="292">INDIRECT("a_" &amp; i) * t^3 + INDIRECT("b_" &amp; i) * t^2 + INDIRECT("c_" &amp; i) * t^1 + INDIRECT("d_" &amp; i)</f>
        <v>0.25559449102153314</v>
      </c>
      <c r="F358" s="117" t="s">
        <v>322</v>
      </c>
      <c r="R358" s="120">
        <f t="array" aca="1" ref="R358" ca="1">E358:E658</f>
        <v>0.25559449102153314</v>
      </c>
      <c r="S358" s="121">
        <f t="shared" ref="S358:S400" ca="1" si="293">(R358-R357)/(D358-D357)</f>
        <v>-2.2741803076788646E-2</v>
      </c>
      <c r="T358" s="121">
        <f t="shared" ca="1" si="229"/>
        <v>-8.0243253416853698E-3</v>
      </c>
    </row>
    <row r="359" spans="3:20" s="74" customFormat="1" x14ac:dyDescent="0.2">
      <c r="C359" s="74">
        <v>30</v>
      </c>
      <c r="D359" s="74">
        <v>25.9</v>
      </c>
      <c r="E359" s="114">
        <f t="shared" ref="E359" ca="1" si="294">INDIRECT("a_" &amp; i) * t^3 + INDIRECT("b_" &amp; i) * t^2 + INDIRECT("c_" &amp; i) * t^1 + INDIRECT("d_" &amp; i)</f>
        <v>0.25323942618434708</v>
      </c>
      <c r="F359" s="117" t="s">
        <v>322</v>
      </c>
      <c r="R359" s="120">
        <f t="array" aca="1" ref="R359" ca="1">E359:E659</f>
        <v>0.25323942618434708</v>
      </c>
      <c r="S359" s="121">
        <f t="shared" ca="1" si="293"/>
        <v>-2.3550648371861108E-2</v>
      </c>
      <c r="T359" s="121">
        <f t="shared" ref="T359:T400" ca="1" si="295">(S359-S358)/(D359-D358)</f>
        <v>-8.0884529507247917E-3</v>
      </c>
    </row>
    <row r="360" spans="3:20" s="74" customFormat="1" x14ac:dyDescent="0.2">
      <c r="C360" s="74">
        <v>30</v>
      </c>
      <c r="D360" s="74">
        <v>26</v>
      </c>
      <c r="E360" s="114">
        <f t="shared" ref="E360" ca="1" si="296">INDIRECT("a_" &amp; i) * t^3 + INDIRECT("b_" &amp; i) * t^2 + INDIRECT("c_" &amp; i) * t^1 + INDIRECT("d_" &amp; i)</f>
        <v>0.25080283554156518</v>
      </c>
      <c r="F360" s="117" t="s">
        <v>322</v>
      </c>
      <c r="R360" s="120">
        <f t="array" aca="1" ref="R360" ca="1">E360:E660</f>
        <v>0.25080283554156518</v>
      </c>
      <c r="S360" s="121">
        <f t="shared" ca="1" si="293"/>
        <v>-2.4365906427818648E-2</v>
      </c>
      <c r="T360" s="121">
        <f t="shared" ca="1" si="295"/>
        <v>-8.1525805595752832E-3</v>
      </c>
    </row>
    <row r="361" spans="3:20" s="74" customFormat="1" x14ac:dyDescent="0.2">
      <c r="C361" s="74">
        <v>30</v>
      </c>
      <c r="D361" s="74">
        <v>26.1</v>
      </c>
      <c r="E361" s="114">
        <f t="shared" ref="E361" ca="1" si="297">INDIRECT("a_" &amp; i) * t^3 + INDIRECT("b_" &amp; i) * t^2 + INDIRECT("c_" &amp; i) * t^1 + INDIRECT("d_" &amp; i)</f>
        <v>0.24828407781709777</v>
      </c>
      <c r="F361" s="117" t="s">
        <v>322</v>
      </c>
      <c r="R361" s="120">
        <f t="array" aca="1" ref="R361" ca="1">E361:E661</f>
        <v>0.24828407781709777</v>
      </c>
      <c r="S361" s="121">
        <f t="shared" ca="1" si="293"/>
        <v>-2.5187577244673773E-2</v>
      </c>
      <c r="T361" s="121">
        <f t="shared" ca="1" si="295"/>
        <v>-8.2167081685511362E-3</v>
      </c>
    </row>
    <row r="362" spans="3:20" s="74" customFormat="1" x14ac:dyDescent="0.2">
      <c r="C362" s="74">
        <v>30</v>
      </c>
      <c r="D362" s="74">
        <v>26.2</v>
      </c>
      <c r="E362" s="114">
        <f t="shared" ref="E362" ca="1" si="298">INDIRECT("a_" &amp; i) * t^3 + INDIRECT("b_" &amp; i) * t^2 + INDIRECT("c_" &amp; i) * t^1 + INDIRECT("d_" &amp; i)</f>
        <v>0.24568251173485561</v>
      </c>
      <c r="F362" s="117" t="s">
        <v>322</v>
      </c>
      <c r="R362" s="120">
        <f t="array" aca="1" ref="R362" ca="1">E362:E662</f>
        <v>0.24568251173485561</v>
      </c>
      <c r="S362" s="121">
        <f t="shared" ca="1" si="293"/>
        <v>-2.6015660822422126E-2</v>
      </c>
      <c r="T362" s="121">
        <f t="shared" ca="1" si="295"/>
        <v>-8.2808357774837062E-3</v>
      </c>
    </row>
    <row r="363" spans="3:20" s="74" customFormat="1" x14ac:dyDescent="0.2">
      <c r="C363" s="74">
        <v>30</v>
      </c>
      <c r="D363" s="74">
        <v>26.3</v>
      </c>
      <c r="E363" s="114">
        <f t="shared" ref="E363" ca="1" si="299">INDIRECT("a_" &amp; i) * t^3 + INDIRECT("b_" &amp; i) * t^2 + INDIRECT("c_" &amp; i) * t^1 + INDIRECT("d_" &amp; i)</f>
        <v>0.24299749601874959</v>
      </c>
      <c r="F363" s="117" t="s">
        <v>322</v>
      </c>
      <c r="R363" s="120">
        <f t="array" aca="1" ref="R363" ca="1">E363:E663</f>
        <v>0.24299749601874959</v>
      </c>
      <c r="S363" s="121">
        <f t="shared" ca="1" si="293"/>
        <v>-2.6850157161059825E-2</v>
      </c>
      <c r="T363" s="121">
        <f t="shared" ca="1" si="295"/>
        <v>-8.3449633863768649E-3</v>
      </c>
    </row>
    <row r="364" spans="3:20" s="74" customFormat="1" x14ac:dyDescent="0.2">
      <c r="C364" s="74">
        <v>30</v>
      </c>
      <c r="D364" s="74">
        <v>26.4</v>
      </c>
      <c r="E364" s="114">
        <f t="shared" ref="E364" ca="1" si="300">INDIRECT("a_" &amp; i) * t^3 + INDIRECT("b_" &amp; i) * t^2 + INDIRECT("c_" &amp; i) * t^1 + INDIRECT("d_" &amp; i)</f>
        <v>0.24022838939268926</v>
      </c>
      <c r="F364" s="117" t="s">
        <v>322</v>
      </c>
      <c r="R364" s="120">
        <f t="array" aca="1" ref="R364" ca="1">E364:E664</f>
        <v>0.24022838939268926</v>
      </c>
      <c r="S364" s="121">
        <f t="shared" ca="1" si="293"/>
        <v>-2.7691066260603948E-2</v>
      </c>
      <c r="T364" s="121">
        <f t="shared" ca="1" si="295"/>
        <v>-8.4090909954414161E-3</v>
      </c>
    </row>
    <row r="365" spans="3:20" s="74" customFormat="1" x14ac:dyDescent="0.2">
      <c r="C365" s="74">
        <v>30</v>
      </c>
      <c r="D365" s="74">
        <v>26.5</v>
      </c>
      <c r="E365" s="114">
        <f t="shared" ref="E365" ca="1" si="301">INDIRECT("a_" &amp; i) * t^3 + INDIRECT("b_" &amp; i) * t^2 + INDIRECT("c_" &amp; i) * t^1 + INDIRECT("d_" &amp; i)</f>
        <v>0.2373745505805866</v>
      </c>
      <c r="F365" s="117" t="s">
        <v>322</v>
      </c>
      <c r="R365" s="120">
        <f t="array" aca="1" ref="R365" ca="1">E365:E665</f>
        <v>0.2373745505805866</v>
      </c>
      <c r="S365" s="121">
        <f t="shared" ca="1" si="293"/>
        <v>-2.8538388121026197E-2</v>
      </c>
      <c r="T365" s="121">
        <f t="shared" ca="1" si="295"/>
        <v>-8.4732186042223694E-3</v>
      </c>
    </row>
    <row r="366" spans="3:20" s="74" customFormat="1" x14ac:dyDescent="0.2">
      <c r="C366" s="74">
        <v>30</v>
      </c>
      <c r="D366" s="74">
        <v>26.6</v>
      </c>
      <c r="E366" s="114">
        <f t="shared" ref="E366" ca="1" si="302">INDIRECT("a_" &amp; i) * t^3 + INDIRECT("b_" &amp; i) * t^2 + INDIRECT("c_" &amp; i) * t^1 + INDIRECT("d_" &amp; i)</f>
        <v>0.23443533830635171</v>
      </c>
      <c r="F366" s="117" t="s">
        <v>322</v>
      </c>
      <c r="R366" s="120">
        <f t="array" aca="1" ref="R366" ca="1">E366:E666</f>
        <v>0.23443533830635171</v>
      </c>
      <c r="S366" s="121">
        <f t="shared" ca="1" si="293"/>
        <v>-2.9392122742348398E-2</v>
      </c>
      <c r="T366" s="121">
        <f t="shared" ca="1" si="295"/>
        <v>-8.5373462132218823E-3</v>
      </c>
    </row>
    <row r="367" spans="3:20" s="74" customFormat="1" x14ac:dyDescent="0.2">
      <c r="C367" s="74">
        <v>30</v>
      </c>
      <c r="D367" s="74">
        <v>26.7</v>
      </c>
      <c r="E367" s="114">
        <f t="shared" ref="E367" ca="1" si="303">INDIRECT("a_" &amp; i) * t^3 + INDIRECT("b_" &amp; i) * t^2 + INDIRECT("c_" &amp; i) * t^1 + INDIRECT("d_" &amp; i)</f>
        <v>0.23141011129389449</v>
      </c>
      <c r="F367" s="117" t="s">
        <v>322</v>
      </c>
      <c r="R367" s="120">
        <f t="array" aca="1" ref="R367" ca="1">E367:E667</f>
        <v>0.23141011129389449</v>
      </c>
      <c r="S367" s="121">
        <f t="shared" ca="1" si="293"/>
        <v>-3.0252270124572857E-2</v>
      </c>
      <c r="T367" s="121">
        <f t="shared" ca="1" si="295"/>
        <v>-8.6014738222447741E-3</v>
      </c>
    </row>
    <row r="368" spans="3:20" s="74" customFormat="1" x14ac:dyDescent="0.2">
      <c r="C368" s="74">
        <v>30</v>
      </c>
      <c r="D368" s="74">
        <v>26.8</v>
      </c>
      <c r="E368" s="114">
        <f t="shared" ref="E368" ca="1" si="304">INDIRECT("a_" &amp; i) * t^3 + INDIRECT("b_" &amp; i) * t^2 + INDIRECT("c_" &amp; i) * t^1 + INDIRECT("d_" &amp; i)</f>
        <v>0.2282982282671267</v>
      </c>
      <c r="F368" s="117" t="s">
        <v>322</v>
      </c>
      <c r="R368" s="120">
        <f t="array" aca="1" ref="R368" ca="1">E368:E668</f>
        <v>0.2282982282671267</v>
      </c>
      <c r="S368" s="121">
        <f t="shared" ca="1" si="293"/>
        <v>-3.1118830267677481E-2</v>
      </c>
      <c r="T368" s="121">
        <f t="shared" ca="1" si="295"/>
        <v>-8.6656014310461191E-3</v>
      </c>
    </row>
    <row r="369" spans="3:20" s="74" customFormat="1" x14ac:dyDescent="0.2">
      <c r="C369" s="74">
        <v>30</v>
      </c>
      <c r="D369" s="74">
        <v>26.9</v>
      </c>
      <c r="E369" s="114">
        <f t="shared" ref="E369" ca="1" si="305">INDIRECT("a_" &amp; i) * t^3 + INDIRECT("b_" &amp; i) * t^2 + INDIRECT("c_" &amp; i) * t^1 + INDIRECT("d_" &amp; i)</f>
        <v>0.225099047949959</v>
      </c>
      <c r="F369" s="117" t="s">
        <v>322</v>
      </c>
      <c r="R369" s="120">
        <f t="array" aca="1" ref="R369" ca="1">E369:E669</f>
        <v>0.225099047949959</v>
      </c>
      <c r="S369" s="121">
        <f t="shared" ca="1" si="293"/>
        <v>-3.1991803171677727E-2</v>
      </c>
      <c r="T369" s="121">
        <f t="shared" ca="1" si="295"/>
        <v>-8.7297290400026439E-3</v>
      </c>
    </row>
    <row r="370" spans="3:20" s="74" customFormat="1" x14ac:dyDescent="0.2">
      <c r="C370" s="74">
        <v>30</v>
      </c>
      <c r="D370" s="74">
        <v>27</v>
      </c>
      <c r="E370" s="114">
        <f t="shared" ref="E370" ca="1" si="306">INDIRECT("a_" &amp; i) * t^3 + INDIRECT("b_" &amp; i) * t^2 + INDIRECT("c_" &amp; i) * t^1 + INDIRECT("d_" &amp; i)</f>
        <v>0.22181192906630071</v>
      </c>
      <c r="F370" s="117" t="s">
        <v>322</v>
      </c>
      <c r="R370" s="120">
        <f t="array" aca="1" ref="R370" ca="1">E370:E670</f>
        <v>0.22181192906630071</v>
      </c>
      <c r="S370" s="121">
        <f t="shared" ca="1" si="293"/>
        <v>-3.2871188836582445E-2</v>
      </c>
      <c r="T370" s="121">
        <f t="shared" ca="1" si="295"/>
        <v>-8.7938566490470549E-3</v>
      </c>
    </row>
    <row r="371" spans="3:20" s="74" customFormat="1" x14ac:dyDescent="0.2">
      <c r="C371" s="74">
        <v>30</v>
      </c>
      <c r="D371" s="74">
        <v>27.1</v>
      </c>
      <c r="E371" s="114">
        <f t="shared" ref="E371" ca="1" si="307">INDIRECT("a_" &amp; i) * t^3 + INDIRECT("b_" &amp; i) * t^2 + INDIRECT("c_" &amp; i) * t^1 + INDIRECT("d_" &amp; i)</f>
        <v>0.21843623034006415</v>
      </c>
      <c r="F371" s="117" t="s">
        <v>322</v>
      </c>
      <c r="R371" s="120">
        <f t="array" aca="1" ref="R371" ca="1">E371:E671</f>
        <v>0.21843623034006415</v>
      </c>
      <c r="S371" s="121">
        <f t="shared" ca="1" si="293"/>
        <v>-3.3756987262365055E-2</v>
      </c>
      <c r="T371" s="121">
        <f t="shared" ca="1" si="295"/>
        <v>-8.8579842578259804E-3</v>
      </c>
    </row>
    <row r="372" spans="3:20" s="74" customFormat="1" x14ac:dyDescent="0.2">
      <c r="C372" s="74">
        <v>30</v>
      </c>
      <c r="D372" s="74">
        <v>27.2</v>
      </c>
      <c r="E372" s="114">
        <f t="shared" ref="E372" ca="1" si="308">INDIRECT("a_" &amp; i) * t^3 + INDIRECT("b_" &amp; i) * t^2 + INDIRECT("c_" &amp; i) * t^1 + INDIRECT("d_" &amp; i)</f>
        <v>0.21497131049515855</v>
      </c>
      <c r="F372" s="117" t="s">
        <v>322</v>
      </c>
      <c r="R372" s="120">
        <f t="array" aca="1" ref="R372" ca="1">E372:E672</f>
        <v>0.21497131049515855</v>
      </c>
      <c r="S372" s="121">
        <f t="shared" ca="1" si="293"/>
        <v>-3.4649198449056742E-2</v>
      </c>
      <c r="T372" s="121">
        <f t="shared" ca="1" si="295"/>
        <v>-8.9221118669170589E-3</v>
      </c>
    </row>
    <row r="373" spans="3:20" s="74" customFormat="1" x14ac:dyDescent="0.2">
      <c r="C373" s="74">
        <v>30</v>
      </c>
      <c r="D373" s="74">
        <v>27.3</v>
      </c>
      <c r="E373" s="114">
        <f t="shared" ref="E373" ca="1" si="309">INDIRECT("a_" &amp; i) * t^3 + INDIRECT("b_" &amp; i) * t^2 + INDIRECT("c_" &amp; i) * t^1 + INDIRECT("d_" &amp; i)</f>
        <v>0.21141652825549545</v>
      </c>
      <c r="F373" s="117" t="s">
        <v>322</v>
      </c>
      <c r="R373" s="120">
        <f t="array" aca="1" ref="R373" ca="1">E373:E673</f>
        <v>0.21141652825549545</v>
      </c>
      <c r="S373" s="121">
        <f t="shared" ca="1" si="293"/>
        <v>-3.5547822396630506E-2</v>
      </c>
      <c r="T373" s="121">
        <f t="shared" ca="1" si="295"/>
        <v>-8.9862394757375084E-3</v>
      </c>
    </row>
    <row r="374" spans="3:20" s="74" customFormat="1" x14ac:dyDescent="0.2">
      <c r="C374" s="74">
        <v>30</v>
      </c>
      <c r="D374" s="74">
        <v>27.4</v>
      </c>
      <c r="E374" s="114">
        <f t="shared" ref="E374" ca="1" si="310">INDIRECT("a_" &amp; i) * t^3 + INDIRECT("b_" &amp; i) * t^2 + INDIRECT("c_" &amp; i) * t^1 + INDIRECT("d_" &amp; i)</f>
        <v>0.20777124234498417</v>
      </c>
      <c r="F374" s="117" t="s">
        <v>322</v>
      </c>
      <c r="R374" s="120">
        <f t="array" aca="1" ref="R374" ca="1">E374:E674</f>
        <v>0.20777124234498417</v>
      </c>
      <c r="S374" s="121">
        <f t="shared" ca="1" si="293"/>
        <v>-3.6452859105113533E-2</v>
      </c>
      <c r="T374" s="121">
        <f t="shared" ca="1" si="295"/>
        <v>-9.050367084830464E-3</v>
      </c>
    </row>
    <row r="375" spans="3:20" s="74" customFormat="1" x14ac:dyDescent="0.2">
      <c r="C375" s="74">
        <v>30</v>
      </c>
      <c r="D375" s="74">
        <v>27.5</v>
      </c>
      <c r="E375" s="114">
        <f t="shared" ref="E375" ca="1" si="311">INDIRECT("a_" &amp; i) * t^3 + INDIRECT("b_" &amp; i) * t^2 + INDIRECT("c_" &amp; i) * t^1 + INDIRECT("d_" &amp; i)</f>
        <v>0.20403481148753716</v>
      </c>
      <c r="F375" s="117" t="s">
        <v>322</v>
      </c>
      <c r="R375" s="120">
        <f t="array" aca="1" ref="R375" ca="1">E375:E675</f>
        <v>0.20403481148753716</v>
      </c>
      <c r="S375" s="121">
        <f t="shared" ca="1" si="293"/>
        <v>-3.7364308574469617E-2</v>
      </c>
      <c r="T375" s="121">
        <f t="shared" ca="1" si="295"/>
        <v>-9.1144946935607044E-3</v>
      </c>
    </row>
    <row r="376" spans="3:20" s="74" customFormat="1" x14ac:dyDescent="0.2">
      <c r="C376" s="74">
        <v>30</v>
      </c>
      <c r="D376" s="74">
        <v>27.6</v>
      </c>
      <c r="E376" s="114">
        <f t="shared" ref="E376" ca="1" si="312">INDIRECT("a_" &amp; i) * t^3 + INDIRECT("b_" &amp; i) * t^2 + INDIRECT("c_" &amp; i) * t^1 + INDIRECT("d_" &amp; i)</f>
        <v>0.20020659440706406</v>
      </c>
      <c r="F376" s="117" t="s">
        <v>322</v>
      </c>
      <c r="R376" s="120">
        <f t="array" aca="1" ref="R376" ca="1">E376:E676</f>
        <v>0.20020659440706406</v>
      </c>
      <c r="S376" s="121">
        <f t="shared" ca="1" si="293"/>
        <v>-3.8282170804730412E-2</v>
      </c>
      <c r="T376" s="121">
        <f t="shared" ca="1" si="295"/>
        <v>-9.1786223026078199E-3</v>
      </c>
    </row>
    <row r="377" spans="3:20" s="74" customFormat="1" x14ac:dyDescent="0.2">
      <c r="C377" s="74">
        <v>30</v>
      </c>
      <c r="D377" s="74">
        <v>27.7</v>
      </c>
      <c r="E377" s="114">
        <f t="shared" ref="E377" ca="1" si="313">INDIRECT("a_" &amp; i) * t^3 + INDIRECT("b_" &amp; i) * t^2 + INDIRECT("c_" &amp; i) * t^1 + INDIRECT("d_" &amp; i)</f>
        <v>0.19628594982747577</v>
      </c>
      <c r="F377" s="117" t="s">
        <v>322</v>
      </c>
      <c r="R377" s="120">
        <f t="array" aca="1" ref="R377" ca="1">E377:E677</f>
        <v>0.19628594982747577</v>
      </c>
      <c r="S377" s="121">
        <f t="shared" ca="1" si="293"/>
        <v>-3.9206445795883782E-2</v>
      </c>
      <c r="T377" s="121">
        <f t="shared" ca="1" si="295"/>
        <v>-9.2427499115339019E-3</v>
      </c>
    </row>
    <row r="378" spans="3:20" s="74" customFormat="1" x14ac:dyDescent="0.2">
      <c r="C378" s="74">
        <v>30</v>
      </c>
      <c r="D378" s="74">
        <v>27.8</v>
      </c>
      <c r="E378" s="114">
        <f t="shared" ref="E378" ca="1" si="314">INDIRECT("a_" &amp; i) * t^3 + INDIRECT("b_" &amp; i) * t^2 + INDIRECT("c_" &amp; i) * t^1 + INDIRECT("d_" &amp; i)</f>
        <v>0.19227223647268227</v>
      </c>
      <c r="F378" s="117" t="s">
        <v>322</v>
      </c>
      <c r="R378" s="120">
        <f t="array" aca="1" ref="R378" ca="1">E378:E678</f>
        <v>0.19227223647268227</v>
      </c>
      <c r="S378" s="121">
        <f t="shared" ca="1" si="293"/>
        <v>-4.0137133547934453E-2</v>
      </c>
      <c r="T378" s="121">
        <f t="shared" ca="1" si="295"/>
        <v>-9.3068775205065804E-3</v>
      </c>
    </row>
    <row r="379" spans="3:20" s="74" customFormat="1" x14ac:dyDescent="0.2">
      <c r="C379" s="74">
        <v>30</v>
      </c>
      <c r="D379" s="74">
        <v>27.9</v>
      </c>
      <c r="E379" s="114">
        <f t="shared" ref="E379" ca="1" si="315">INDIRECT("a_" &amp; i) * t^3 + INDIRECT("b_" &amp; i) * t^2 + INDIRECT("c_" &amp; i) * t^1 + INDIRECT("d_" &amp; i)</f>
        <v>0.18816481306659455</v>
      </c>
      <c r="F379" s="117" t="s">
        <v>322</v>
      </c>
      <c r="R379" s="120">
        <f t="array" aca="1" ref="R379" ca="1">E379:E679</f>
        <v>0.18816481306659455</v>
      </c>
      <c r="S379" s="121">
        <f t="shared" ca="1" si="293"/>
        <v>-4.1074234060878054E-2</v>
      </c>
      <c r="T379" s="121">
        <f t="shared" ca="1" si="295"/>
        <v>-9.3710051294362048E-3</v>
      </c>
    </row>
    <row r="380" spans="3:20" s="74" customFormat="1" x14ac:dyDescent="0.2">
      <c r="C380" s="74">
        <v>30</v>
      </c>
      <c r="D380" s="74">
        <v>28</v>
      </c>
      <c r="E380" s="114">
        <f t="shared" ref="E380" ca="1" si="316">INDIRECT("a_" &amp; i) * t^3 + INDIRECT("b_" &amp; i) * t^2 + INDIRECT("c_" &amp; i) * t^1 + INDIRECT("d_" &amp; i)</f>
        <v>0.18396303833312416</v>
      </c>
      <c r="F380" s="117" t="s">
        <v>322</v>
      </c>
      <c r="R380" s="120">
        <f t="array" aca="1" ref="R380" ca="1">E380:E680</f>
        <v>0.18396303833312416</v>
      </c>
      <c r="S380" s="121">
        <f t="shared" ca="1" si="293"/>
        <v>-4.2017747334703273E-2</v>
      </c>
      <c r="T380" s="121">
        <f t="shared" ca="1" si="295"/>
        <v>-9.4351327382520608E-3</v>
      </c>
    </row>
    <row r="381" spans="3:20" s="74" customFormat="1" x14ac:dyDescent="0.2">
      <c r="C381" s="74">
        <v>30</v>
      </c>
      <c r="D381" s="74">
        <v>28.1</v>
      </c>
      <c r="E381" s="114">
        <f t="shared" ref="E381" ca="1" si="317">INDIRECT("a_" &amp; i) * t^3 + INDIRECT("b_" &amp; i) * t^2 + INDIRECT("c_" &amp; i) * t^1 + INDIRECT("d_" &amp; i)</f>
        <v>0.17966627099618032</v>
      </c>
      <c r="F381" s="117" t="s">
        <v>322</v>
      </c>
      <c r="R381" s="120">
        <f t="array" aca="1" ref="R381" ca="1">E381:E681</f>
        <v>0.17966627099618032</v>
      </c>
      <c r="S381" s="121">
        <f t="shared" ca="1" si="293"/>
        <v>-4.2967673369437798E-2</v>
      </c>
      <c r="T381" s="121">
        <f t="shared" ca="1" si="295"/>
        <v>-9.49926034734511E-3</v>
      </c>
    </row>
    <row r="382" spans="3:20" s="74" customFormat="1" x14ac:dyDescent="0.2">
      <c r="C382" s="74">
        <v>30</v>
      </c>
      <c r="D382" s="74">
        <v>28.2</v>
      </c>
      <c r="E382" s="114">
        <f t="shared" ref="E382" ca="1" si="318">INDIRECT("a_" &amp; i) * t^3 + INDIRECT("b_" &amp; i) * t^2 + INDIRECT("c_" &amp; i) * t^1 + INDIRECT("d_" &amp; i)</f>
        <v>0.17527386977967446</v>
      </c>
      <c r="F382" s="117" t="s">
        <v>322</v>
      </c>
      <c r="R382" s="120">
        <f t="array" aca="1" ref="R382" ca="1">E382:E682</f>
        <v>0.17527386977967446</v>
      </c>
      <c r="S382" s="121">
        <f t="shared" ca="1" si="293"/>
        <v>-4.3924012165059527E-2</v>
      </c>
      <c r="T382" s="121">
        <f t="shared" ca="1" si="295"/>
        <v>-9.5633879562174971E-3</v>
      </c>
    </row>
    <row r="383" spans="3:20" s="74" customFormat="1" x14ac:dyDescent="0.2">
      <c r="C383" s="74">
        <v>30</v>
      </c>
      <c r="D383" s="74">
        <v>28.3</v>
      </c>
      <c r="E383" s="114">
        <f t="shared" ref="E383" ca="1" si="319">INDIRECT("a_" &amp; i) * t^3 + INDIRECT("b_" &amp; i) * t^2 + INDIRECT("c_" &amp; i) * t^1 + INDIRECT("d_" &amp; i)</f>
        <v>0.1707851934075168</v>
      </c>
      <c r="F383" s="117" t="s">
        <v>322</v>
      </c>
      <c r="R383" s="120">
        <f t="array" aca="1" ref="R383" ca="1">E383:E683</f>
        <v>0.1707851934075168</v>
      </c>
      <c r="S383" s="121">
        <f t="shared" ca="1" si="293"/>
        <v>-4.488676372157599E-2</v>
      </c>
      <c r="T383" s="121">
        <f t="shared" ca="1" si="295"/>
        <v>-9.6275155651644895E-3</v>
      </c>
    </row>
    <row r="384" spans="3:20" s="74" customFormat="1" x14ac:dyDescent="0.2">
      <c r="C384" s="74">
        <v>30</v>
      </c>
      <c r="D384" s="74">
        <v>28.4</v>
      </c>
      <c r="E384" s="114">
        <f t="shared" ref="E384" ca="1" si="320">INDIRECT("a_" &amp; i) * t^3 + INDIRECT("b_" &amp; i) * t^2 + INDIRECT("c_" &amp; i) * t^1 + INDIRECT("d_" &amp; i)</f>
        <v>0.16619960060361888</v>
      </c>
      <c r="F384" s="117" t="s">
        <v>322</v>
      </c>
      <c r="R384" s="120">
        <f t="array" aca="1" ref="R384" ca="1">E384:E684</f>
        <v>0.16619960060361888</v>
      </c>
      <c r="S384" s="121">
        <f t="shared" ca="1" si="293"/>
        <v>-4.5855928038980177E-2</v>
      </c>
      <c r="T384" s="121">
        <f t="shared" ca="1" si="295"/>
        <v>-9.6916431740420843E-3</v>
      </c>
    </row>
    <row r="385" spans="3:20" s="74" customFormat="1" x14ac:dyDescent="0.2">
      <c r="C385" s="74">
        <v>30</v>
      </c>
      <c r="D385" s="74">
        <v>28.5</v>
      </c>
      <c r="E385" s="114">
        <f t="shared" ref="E385" ca="1" si="321">INDIRECT("a_" &amp; i) * t^3 + INDIRECT("b_" &amp; i) * t^2 + INDIRECT("c_" &amp; i) * t^1 + INDIRECT("d_" &amp; i)</f>
        <v>0.16151645009189047</v>
      </c>
      <c r="F385" s="117" t="s">
        <v>322</v>
      </c>
      <c r="R385" s="120">
        <f t="array" aca="1" ref="R385" ca="1">E385:E685</f>
        <v>0.16151645009189047</v>
      </c>
      <c r="S385" s="121">
        <f t="shared" ca="1" si="293"/>
        <v>-4.6831505117283401E-2</v>
      </c>
      <c r="T385" s="121">
        <f t="shared" ca="1" si="295"/>
        <v>-9.7557707830320944E-3</v>
      </c>
    </row>
    <row r="386" spans="3:20" s="74" customFormat="1" x14ac:dyDescent="0.2">
      <c r="C386" s="74">
        <v>30</v>
      </c>
      <c r="D386" s="74">
        <v>28.6</v>
      </c>
      <c r="E386" s="114">
        <f t="shared" ref="E386" ca="1" si="322">INDIRECT("a_" &amp; i) * t^3 + INDIRECT("b_" &amp; i) * t^2 + INDIRECT("c_" &amp; i) * t^1 + INDIRECT("d_" &amp; i)</f>
        <v>0.15673510059624168</v>
      </c>
      <c r="F386" s="117" t="s">
        <v>322</v>
      </c>
      <c r="R386" s="120">
        <f t="array" aca="1" ref="R386" ca="1">E386:E686</f>
        <v>0.15673510059624168</v>
      </c>
      <c r="S386" s="121">
        <f t="shared" ca="1" si="293"/>
        <v>-4.7813494956487221E-2</v>
      </c>
      <c r="T386" s="121">
        <f t="shared" ca="1" si="295"/>
        <v>-9.8198983920380623E-3</v>
      </c>
    </row>
    <row r="387" spans="3:20" s="74" customFormat="1" x14ac:dyDescent="0.2">
      <c r="C387" s="74">
        <v>30</v>
      </c>
      <c r="D387" s="74">
        <v>28.7</v>
      </c>
      <c r="E387" s="114">
        <f t="shared" ref="E387" ca="1" si="323">INDIRECT("a_" &amp; i) * t^3 + INDIRECT("b_" &amp; i) * t^2 + INDIRECT("c_" &amp; i) * t^1 + INDIRECT("d_" &amp; i)</f>
        <v>0.15185491084058439</v>
      </c>
      <c r="F387" s="117" t="s">
        <v>322</v>
      </c>
      <c r="R387" s="120">
        <f t="array" aca="1" ref="R387" ca="1">E387:E687</f>
        <v>0.15185491084058439</v>
      </c>
      <c r="S387" s="121">
        <f t="shared" ca="1" si="293"/>
        <v>-4.8801897556573978E-2</v>
      </c>
      <c r="T387" s="121">
        <f t="shared" ca="1" si="295"/>
        <v>-9.8840260008677839E-3</v>
      </c>
    </row>
    <row r="388" spans="3:20" s="74" customFormat="1" x14ac:dyDescent="0.2">
      <c r="C388" s="74">
        <v>30</v>
      </c>
      <c r="D388" s="74">
        <v>28.8</v>
      </c>
      <c r="E388" s="114">
        <f t="shared" ref="E388" ca="1" si="324">INDIRECT("a_" &amp; i) * t^3 + INDIRECT("b_" &amp; i) * t^2 + INDIRECT("c_" &amp; i) * t^1 + INDIRECT("d_" &amp; i)</f>
        <v>0.14687523954882881</v>
      </c>
      <c r="F388" s="117" t="s">
        <v>322</v>
      </c>
      <c r="R388" s="120">
        <f t="array" aca="1" ref="R388" ca="1">E388:E688</f>
        <v>0.14687523954882881</v>
      </c>
      <c r="S388" s="121">
        <f t="shared" ca="1" si="293"/>
        <v>-4.9796712917555122E-2</v>
      </c>
      <c r="T388" s="121">
        <f t="shared" ca="1" si="295"/>
        <v>-9.9481536098112982E-3</v>
      </c>
    </row>
    <row r="389" spans="3:20" s="74" customFormat="1" x14ac:dyDescent="0.2">
      <c r="C389" s="74">
        <v>30</v>
      </c>
      <c r="D389" s="74">
        <v>28.9</v>
      </c>
      <c r="E389" s="114">
        <f t="shared" ref="E389" ca="1" si="325">INDIRECT("a_" &amp; i) * t^3 + INDIRECT("b_" &amp; i) * t^2 + INDIRECT("c_" &amp; i) * t^1 + INDIRECT("d_" &amp; i)</f>
        <v>0.14179544544488515</v>
      </c>
      <c r="F389" s="117" t="s">
        <v>322</v>
      </c>
      <c r="R389" s="120">
        <f t="array" aca="1" ref="R389" ca="1">E389:E689</f>
        <v>0.14179544544488515</v>
      </c>
      <c r="S389" s="121">
        <f t="shared" ca="1" si="293"/>
        <v>-5.0797941039437661E-2</v>
      </c>
      <c r="T389" s="121">
        <f t="shared" ca="1" si="295"/>
        <v>-1.00122812188256E-2</v>
      </c>
    </row>
    <row r="390" spans="3:20" s="74" customFormat="1" x14ac:dyDescent="0.2">
      <c r="C390" s="74">
        <v>30</v>
      </c>
      <c r="D390" s="74">
        <v>29</v>
      </c>
      <c r="E390" s="114">
        <f t="shared" ref="E390" ca="1" si="326">INDIRECT("a_" &amp; i) * t^3 + INDIRECT("b_" &amp; i) * t^2 + INDIRECT("c_" &amp; i) * t^1 + INDIRECT("d_" &amp; i)</f>
        <v>0.13661488725266452</v>
      </c>
      <c r="F390" s="117" t="s">
        <v>322</v>
      </c>
      <c r="R390" s="120">
        <f t="array" aca="1" ref="R390" ca="1">E390:E690</f>
        <v>0.13661488725266452</v>
      </c>
      <c r="S390" s="121">
        <f t="shared" ca="1" si="293"/>
        <v>-5.1805581922205565E-2</v>
      </c>
      <c r="T390" s="121">
        <f t="shared" ca="1" si="295"/>
        <v>-1.0076408827678901E-2</v>
      </c>
    </row>
    <row r="391" spans="3:20" s="74" customFormat="1" x14ac:dyDescent="0.2">
      <c r="C391" s="74">
        <v>30</v>
      </c>
      <c r="D391" s="74">
        <v>29.1</v>
      </c>
      <c r="E391" s="114">
        <f t="shared" ref="E391" ca="1" si="327">INDIRECT("a_" &amp; i) * t^3 + INDIRECT("b_" &amp; i) * t^2 + INDIRECT("c_" &amp; i) * t^1 + INDIRECT("d_" &amp; i)</f>
        <v>0.13133292369607746</v>
      </c>
      <c r="F391" s="117" t="s">
        <v>322</v>
      </c>
      <c r="R391" s="120">
        <f t="array" aca="1" ref="R391" ca="1">E391:E691</f>
        <v>0.13133292369607746</v>
      </c>
      <c r="S391" s="121">
        <f t="shared" ca="1" si="293"/>
        <v>-5.2819635565869799E-2</v>
      </c>
      <c r="T391" s="121">
        <f t="shared" ca="1" si="295"/>
        <v>-1.0140536436642195E-2</v>
      </c>
    </row>
    <row r="392" spans="3:20" s="74" customFormat="1" x14ac:dyDescent="0.2">
      <c r="C392" s="74">
        <v>30</v>
      </c>
      <c r="D392" s="74">
        <v>29.2</v>
      </c>
      <c r="E392" s="114">
        <f t="shared" ref="E392" ca="1" si="328">INDIRECT("a_" &amp; i) * t^3 + INDIRECT("b_" &amp; i) * t^2 + INDIRECT("c_" &amp; i) * t^1 + INDIRECT("d_" &amp; i)</f>
        <v>0.12594891349903453</v>
      </c>
      <c r="F392" s="117" t="s">
        <v>322</v>
      </c>
      <c r="R392" s="120">
        <f t="array" aca="1" ref="R392" ca="1">E392:E692</f>
        <v>0.12594891349903453</v>
      </c>
      <c r="S392" s="121">
        <f t="shared" ca="1" si="293"/>
        <v>-5.3840101970430466E-2</v>
      </c>
      <c r="T392" s="121">
        <f t="shared" ca="1" si="295"/>
        <v>-1.020466404560689E-2</v>
      </c>
    </row>
    <row r="393" spans="3:20" s="74" customFormat="1" x14ac:dyDescent="0.2">
      <c r="C393" s="74">
        <v>30</v>
      </c>
      <c r="D393" s="74">
        <v>29.3</v>
      </c>
      <c r="E393" s="114">
        <f t="shared" ref="E393" ca="1" si="329">INDIRECT("a_" &amp; i) * t^3 + INDIRECT("b_" &amp; i) * t^2 + INDIRECT("c_" &amp; i) * t^1 + INDIRECT("d_" &amp; i)</f>
        <v>0.12046221538544594</v>
      </c>
      <c r="F393" s="117" t="s">
        <v>322</v>
      </c>
      <c r="R393" s="120">
        <f t="array" aca="1" ref="R393" ca="1">E393:E693</f>
        <v>0.12046221538544594</v>
      </c>
      <c r="S393" s="121">
        <f t="shared" ca="1" si="293"/>
        <v>-5.4866981135885173E-2</v>
      </c>
      <c r="T393" s="121">
        <f t="shared" ca="1" si="295"/>
        <v>-1.0268791654546923E-2</v>
      </c>
    </row>
    <row r="394" spans="3:20" s="74" customFormat="1" x14ac:dyDescent="0.2">
      <c r="C394" s="74">
        <v>30</v>
      </c>
      <c r="D394" s="74">
        <v>29.4</v>
      </c>
      <c r="E394" s="114">
        <f t="shared" ref="E394" ca="1" si="330">INDIRECT("a_" &amp; i) * t^3 + INDIRECT("b_" &amp; i) * t^2 + INDIRECT("c_" &amp; i) * t^1 + INDIRECT("d_" &amp; i)</f>
        <v>0.11487218807922278</v>
      </c>
      <c r="F394" s="117" t="s">
        <v>322</v>
      </c>
      <c r="R394" s="120">
        <f t="array" aca="1" ref="R394" ca="1">E394:E694</f>
        <v>0.11487218807922278</v>
      </c>
      <c r="S394" s="121">
        <f t="shared" ca="1" si="293"/>
        <v>-5.5900273062232747E-2</v>
      </c>
      <c r="T394" s="121">
        <f t="shared" ca="1" si="295"/>
        <v>-1.0332919263475958E-2</v>
      </c>
    </row>
    <row r="395" spans="3:20" s="74" customFormat="1" x14ac:dyDescent="0.2">
      <c r="C395" s="74">
        <v>30</v>
      </c>
      <c r="D395" s="74">
        <v>29.5</v>
      </c>
      <c r="E395" s="114">
        <f t="shared" ref="E395" ca="1" si="331">INDIRECT("a_" &amp; i) * t^3 + INDIRECT("b_" &amp; i) * t^2 + INDIRECT("c_" &amp; i) * t^1 + INDIRECT("d_" &amp; i)</f>
        <v>0.10917819030427617</v>
      </c>
      <c r="F395" s="117" t="s">
        <v>322</v>
      </c>
      <c r="R395" s="120">
        <f t="array" aca="1" ref="R395" ca="1">E395:E695</f>
        <v>0.10917819030427617</v>
      </c>
      <c r="S395" s="121">
        <f t="shared" ca="1" si="293"/>
        <v>-5.6939977749465319E-2</v>
      </c>
      <c r="T395" s="121">
        <f t="shared" ca="1" si="295"/>
        <v>-1.0397046872325571E-2</v>
      </c>
    </row>
    <row r="396" spans="3:20" s="74" customFormat="1" x14ac:dyDescent="0.2">
      <c r="C396" s="74">
        <v>30</v>
      </c>
      <c r="D396" s="74">
        <v>29.6</v>
      </c>
      <c r="E396" s="114">
        <f t="shared" ref="E396" ca="1" si="332">INDIRECT("a_" &amp; i) * t^3 + INDIRECT("b_" &amp; i) * t^2 + INDIRECT("c_" &amp; i) * t^1 + INDIRECT("d_" &amp; i)</f>
        <v>0.10337958078451531</v>
      </c>
      <c r="F396" s="117" t="s">
        <v>322</v>
      </c>
      <c r="R396" s="120">
        <f t="array" aca="1" ref="R396" ca="1">E396:E696</f>
        <v>0.10337958078451531</v>
      </c>
      <c r="S396" s="121">
        <f t="shared" ca="1" si="293"/>
        <v>-5.798609519760773E-2</v>
      </c>
      <c r="T396" s="121">
        <f t="shared" ca="1" si="295"/>
        <v>-1.0461174481423963E-2</v>
      </c>
    </row>
    <row r="397" spans="3:20" s="74" customFormat="1" x14ac:dyDescent="0.2">
      <c r="C397" s="74">
        <v>30</v>
      </c>
      <c r="D397" s="74">
        <v>29.7</v>
      </c>
      <c r="E397" s="114">
        <f t="shared" ref="E397" ca="1" si="333">INDIRECT("a_" &amp; i) * t^3 + INDIRECT("b_" &amp; i) * t^2 + INDIRECT("c_" &amp; i) * t^1 + INDIRECT("d_" &amp; i)</f>
        <v>9.7475718243852538E-2</v>
      </c>
      <c r="F397" s="117" t="s">
        <v>322</v>
      </c>
      <c r="R397" s="120">
        <f t="array" aca="1" ref="R397" ca="1">E397:E697</f>
        <v>9.7475718243852538E-2</v>
      </c>
      <c r="S397" s="121">
        <f t="shared" ca="1" si="293"/>
        <v>-5.9038625406628999E-2</v>
      </c>
      <c r="T397" s="121">
        <f t="shared" ca="1" si="295"/>
        <v>-1.0525302090212909E-2</v>
      </c>
    </row>
    <row r="398" spans="3:20" s="74" customFormat="1" x14ac:dyDescent="0.2">
      <c r="C398" s="74">
        <v>30</v>
      </c>
      <c r="D398" s="74">
        <v>29.8</v>
      </c>
      <c r="E398" s="114">
        <f t="shared" ref="E398" ca="1" si="334">INDIRECT("a_" &amp; i) * t^3 + INDIRECT("b_" &amp; i) * t^2 + INDIRECT("c_" &amp; i) * t^1 + INDIRECT("d_" &amp; i)</f>
        <v>9.1465961406197616E-2</v>
      </c>
      <c r="F398" s="117" t="s">
        <v>322</v>
      </c>
      <c r="R398" s="120">
        <f t="array" aca="1" ref="R398" ca="1">E398:E698</f>
        <v>9.1465961406197616E-2</v>
      </c>
      <c r="S398" s="121">
        <f t="shared" ca="1" si="293"/>
        <v>-6.0097568376548373E-2</v>
      </c>
      <c r="T398" s="121">
        <f t="shared" ca="1" si="295"/>
        <v>-1.0589429699193591E-2</v>
      </c>
    </row>
    <row r="399" spans="3:20" s="74" customFormat="1" x14ac:dyDescent="0.2">
      <c r="C399" s="74">
        <v>30</v>
      </c>
      <c r="D399" s="74">
        <v>29.9</v>
      </c>
      <c r="E399" s="114">
        <f t="shared" ref="E399" ca="1" si="335">INDIRECT("a_" &amp; i) * t^3 + INDIRECT("b_" &amp; i) * t^2 + INDIRECT("c_" &amp; i) * t^1 + INDIRECT("d_" &amp; i)</f>
        <v>8.5349668995460759E-2</v>
      </c>
      <c r="F399" s="117" t="s">
        <v>322</v>
      </c>
      <c r="R399" s="120">
        <f t="array" aca="1" ref="R399" ca="1">E399:E699</f>
        <v>8.5349668995460759E-2</v>
      </c>
      <c r="S399" s="121">
        <f t="shared" ca="1" si="293"/>
        <v>-6.116292410736987E-2</v>
      </c>
      <c r="T399" s="121">
        <f t="shared" ca="1" si="295"/>
        <v>-1.0653557308215203E-2</v>
      </c>
    </row>
    <row r="400" spans="3:20" s="74" customFormat="1" x14ac:dyDescent="0.2">
      <c r="C400" s="74">
        <v>30</v>
      </c>
      <c r="D400" s="74">
        <v>30</v>
      </c>
      <c r="E400" s="114">
        <f t="shared" ref="E400" ca="1" si="336">INDIRECT("a_" &amp; i) * t^3 + INDIRECT("b_" &amp; i) * t^2 + INDIRECT("c_" &amp; i) * t^1 + INDIRECT("d_" &amp; i)</f>
        <v>7.9126199735553071E-2</v>
      </c>
      <c r="F400" s="117">
        <v>0.08</v>
      </c>
      <c r="G400" s="123">
        <f ca="1">F400-E400</f>
        <v>8.738002644469306E-4</v>
      </c>
      <c r="H400" s="117"/>
      <c r="I400" s="117"/>
      <c r="R400" s="120">
        <f t="array" aca="1" ref="R400" ca="1">E400:E700</f>
        <v>7.9126199735553071E-2</v>
      </c>
      <c r="S400" s="121">
        <f t="shared" ca="1" si="293"/>
        <v>-6.2234692599075998E-2</v>
      </c>
      <c r="T400" s="121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AE7E4-1CCE-6A4B-8F0C-5C34D2C27569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FF959-B26F-C04C-8298-6BAAB0B88D58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B34BE-543E-3B45-A58D-AD2C82ECA426}">
  <sheetPr codeName="Sheet22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347</v>
      </c>
    </row>
    <row r="2" spans="1:1" x14ac:dyDescent="0.3">
      <c r="A2" s="1" t="s">
        <v>348</v>
      </c>
    </row>
    <row r="3" spans="1:1" x14ac:dyDescent="0.3">
      <c r="A3" s="1" t="s">
        <v>349</v>
      </c>
    </row>
    <row r="4" spans="1:1" x14ac:dyDescent="0.3">
      <c r="A4" s="1" t="s">
        <v>358</v>
      </c>
    </row>
  </sheetData>
  <phoneticPr fontId="8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91E7-A143-5147-B1BA-0A9650E958C9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F3F8D-5E2A-DD4F-9B57-0D99377B2B3F}">
  <sheetPr codeName="Sheet38">
    <tabColor rgb="FFFF00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1E8BD-9F16-0C47-90D4-E4A6BC50C6DD}">
  <sheetPr codeName="Sheet4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F3806-DFCB-174E-BF25-AC7B1DC02D01}">
  <sheetPr codeName="Sheet4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350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2:3" x14ac:dyDescent="0.3">
      <c r="B2" s="22" t="s">
        <v>75</v>
      </c>
      <c r="C2" s="125" t="s">
        <v>76</v>
      </c>
    </row>
    <row r="3" spans="2:3" x14ac:dyDescent="0.3">
      <c r="B3" s="1" t="s">
        <v>351</v>
      </c>
      <c r="C3" s="1">
        <v>30</v>
      </c>
    </row>
    <row r="4" spans="2:3" x14ac:dyDescent="0.3">
      <c r="B4" s="1" t="s">
        <v>356</v>
      </c>
      <c r="C4" s="1">
        <v>10</v>
      </c>
    </row>
    <row r="5" spans="2:3" x14ac:dyDescent="0.3">
      <c r="B5" s="1" t="s">
        <v>357</v>
      </c>
      <c r="C5" s="1">
        <v>10</v>
      </c>
    </row>
  </sheetData>
  <phoneticPr fontId="8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A1E9A-1392-BA40-A24C-D9E0571126F6}">
  <sheetPr codeName="Sheet28">
    <tabColor rgb="FFFFFF00"/>
  </sheetPr>
  <dimension ref="B2:B4"/>
  <sheetViews>
    <sheetView workbookViewId="0">
      <selection activeCell="B5" sqref="B5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352</v>
      </c>
    </row>
    <row r="3" spans="2:2" x14ac:dyDescent="0.3">
      <c r="B3" s="1" t="s">
        <v>353</v>
      </c>
    </row>
    <row r="4" spans="2:2" x14ac:dyDescent="0.3">
      <c r="B4" s="1" t="s">
        <v>354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EF55F-063A-D34A-BFBC-3E31F9C2B783}">
  <sheetPr codeName="Sheet29">
    <tabColor rgb="FFFFFF00"/>
  </sheetPr>
  <dimension ref="B2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179</vt:i4>
      </vt:variant>
    </vt:vector>
  </HeadingPairs>
  <TitlesOfParts>
    <vt:vector size="192" baseType="lpstr">
      <vt:lpstr>Today</vt:lpstr>
      <vt:lpstr>Themes</vt:lpstr>
      <vt:lpstr>Diagnostics</vt:lpstr>
      <vt:lpstr>LogisticRegression</vt:lpstr>
      <vt:lpstr>MultiClass</vt:lpstr>
      <vt:lpstr>ClusterAnalysis</vt:lpstr>
      <vt:lpstr>PieceWiseModels</vt:lpstr>
      <vt:lpstr>Splines</vt:lpstr>
      <vt:lpstr>GAMS</vt:lpstr>
      <vt:lpstr>PreWork4NextClass</vt:lpstr>
      <vt:lpstr>InClassProjects</vt:lpstr>
      <vt:lpstr>qDiamonds</vt:lpstr>
      <vt:lpstr>qReading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2022-03-04T00:56:07Z</dcterms:modified>
</cp:coreProperties>
</file>